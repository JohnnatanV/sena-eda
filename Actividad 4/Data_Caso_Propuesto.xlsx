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ohvi\OneDrive\Documentos\Workspace\Data\SENA - Analisis Exploratorio de Datos\Actividad 4\"/>
    </mc:Choice>
  </mc:AlternateContent>
  <xr:revisionPtr revIDLastSave="0" documentId="13_ncr:1_{6D0842D4-FD4C-4E8E-964E-A2F1CD85F8C9}" xr6:coauthVersionLast="47" xr6:coauthVersionMax="47" xr10:uidLastSave="{00000000-0000-0000-0000-000000000000}"/>
  <bookViews>
    <workbookView xWindow="-120" yWindow="-120" windowWidth="29040" windowHeight="15720" activeTab="1" xr2:uid="{F1D1CA50-B425-4D3F-8B32-A0F894E1AF09}"/>
  </bookViews>
  <sheets>
    <sheet name="Sheet2" sheetId="3" r:id="rId1"/>
    <sheet name="Data_Caso_Propuesto" sheetId="2" r:id="rId2"/>
  </sheets>
  <definedNames>
    <definedName name="ExternalData_1" localSheetId="1" hidden="1">Data_Caso_Propuesto!$A$1:$L$464</definedName>
  </definedNames>
  <calcPr calcId="191029"/>
  <pivotCaches>
    <pivotCache cacheId="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2" l="1"/>
  <c r="O21" i="2"/>
  <c r="O22" i="2"/>
  <c r="O19" i="2"/>
  <c r="O4" i="2"/>
  <c r="O23" i="2"/>
  <c r="O24" i="2"/>
  <c r="O17" i="2"/>
  <c r="O25" i="2"/>
  <c r="O26" i="2"/>
  <c r="O27" i="2"/>
  <c r="O28" i="2"/>
  <c r="O29" i="2"/>
  <c r="O30" i="2"/>
  <c r="O16" i="2"/>
  <c r="O31" i="2"/>
  <c r="O18" i="2"/>
  <c r="O32" i="2"/>
  <c r="O33" i="2"/>
  <c r="O34" i="2"/>
  <c r="O35" i="2"/>
  <c r="O36" i="2"/>
  <c r="O37" i="2"/>
  <c r="O38" i="2"/>
  <c r="O39" i="2"/>
  <c r="O40" i="2"/>
  <c r="O41" i="2"/>
  <c r="O42" i="2"/>
  <c r="O43" i="2"/>
  <c r="O44" i="2"/>
  <c r="O45" i="2"/>
  <c r="O46" i="2"/>
  <c r="O47" i="2"/>
  <c r="O48" i="2"/>
  <c r="O49" i="2"/>
  <c r="O50" i="2"/>
  <c r="O51" i="2"/>
  <c r="O5" i="2"/>
  <c r="O52" i="2"/>
  <c r="O53" i="2"/>
  <c r="O54" i="2"/>
  <c r="O55" i="2"/>
  <c r="O56" i="2"/>
  <c r="O57" i="2"/>
  <c r="O58" i="2"/>
  <c r="O59" i="2"/>
  <c r="O60" i="2"/>
  <c r="O61" i="2"/>
  <c r="O62" i="2"/>
  <c r="O13" i="2"/>
  <c r="O63" i="2"/>
  <c r="O64" i="2"/>
  <c r="O65" i="2"/>
  <c r="O66" i="2"/>
  <c r="O6" i="2"/>
  <c r="O15" i="2"/>
  <c r="O67" i="2"/>
  <c r="O68" i="2"/>
  <c r="O69" i="2"/>
  <c r="O70" i="2"/>
  <c r="O2" i="2"/>
  <c r="O71" i="2"/>
  <c r="O72" i="2"/>
  <c r="O73" i="2"/>
  <c r="O74" i="2"/>
  <c r="O75" i="2"/>
  <c r="O76" i="2"/>
  <c r="O77" i="2"/>
  <c r="O10" i="2"/>
  <c r="O78" i="2"/>
  <c r="O79" i="2"/>
  <c r="O80" i="2"/>
  <c r="O81" i="2"/>
  <c r="O82" i="2"/>
  <c r="O83" i="2"/>
  <c r="O84" i="2"/>
  <c r="O85" i="2"/>
  <c r="O86" i="2"/>
  <c r="O87" i="2"/>
  <c r="O88" i="2"/>
  <c r="O7" i="2"/>
  <c r="O89" i="2"/>
  <c r="O90" i="2"/>
  <c r="O91" i="2"/>
  <c r="O92" i="2"/>
  <c r="O93" i="2"/>
  <c r="O14" i="2"/>
  <c r="O94" i="2"/>
  <c r="O95" i="2"/>
  <c r="O11" i="2"/>
  <c r="O96" i="2"/>
  <c r="O97" i="2"/>
  <c r="O98" i="2"/>
  <c r="O9" i="2"/>
  <c r="O99" i="2"/>
  <c r="O100" i="2"/>
  <c r="O101" i="2"/>
  <c r="O102" i="2"/>
  <c r="O103" i="2"/>
  <c r="O12"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3" i="2"/>
  <c r="O456" i="2"/>
  <c r="O8" i="2"/>
  <c r="O457" i="2"/>
  <c r="O458" i="2"/>
  <c r="O459" i="2"/>
  <c r="O460" i="2"/>
  <c r="O461" i="2"/>
  <c r="O462" i="2"/>
  <c r="O463" i="2"/>
  <c r="O464" i="2"/>
  <c r="N20" i="2"/>
  <c r="N21" i="2"/>
  <c r="N22" i="2"/>
  <c r="N19" i="2"/>
  <c r="N4" i="2"/>
  <c r="N23" i="2"/>
  <c r="N24" i="2"/>
  <c r="N17" i="2"/>
  <c r="N25" i="2"/>
  <c r="N26" i="2"/>
  <c r="N27" i="2"/>
  <c r="N28" i="2"/>
  <c r="N29" i="2"/>
  <c r="N30" i="2"/>
  <c r="N16" i="2"/>
  <c r="N31" i="2"/>
  <c r="N18" i="2"/>
  <c r="N32" i="2"/>
  <c r="N33" i="2"/>
  <c r="N34" i="2"/>
  <c r="N35" i="2"/>
  <c r="N36" i="2"/>
  <c r="N37" i="2"/>
  <c r="N38" i="2"/>
  <c r="N39" i="2"/>
  <c r="N40" i="2"/>
  <c r="N41" i="2"/>
  <c r="N42" i="2"/>
  <c r="N43" i="2"/>
  <c r="N44" i="2"/>
  <c r="N45" i="2"/>
  <c r="N46" i="2"/>
  <c r="N47" i="2"/>
  <c r="N48" i="2"/>
  <c r="N49" i="2"/>
  <c r="N50" i="2"/>
  <c r="N51" i="2"/>
  <c r="N5" i="2"/>
  <c r="N52" i="2"/>
  <c r="N53" i="2"/>
  <c r="N54" i="2"/>
  <c r="N55" i="2"/>
  <c r="N56" i="2"/>
  <c r="N57" i="2"/>
  <c r="N58" i="2"/>
  <c r="N59" i="2"/>
  <c r="N60" i="2"/>
  <c r="N61" i="2"/>
  <c r="N62" i="2"/>
  <c r="N13" i="2"/>
  <c r="N63" i="2"/>
  <c r="N64" i="2"/>
  <c r="N65" i="2"/>
  <c r="N66" i="2"/>
  <c r="N6" i="2"/>
  <c r="N15" i="2"/>
  <c r="N67" i="2"/>
  <c r="N68" i="2"/>
  <c r="N69" i="2"/>
  <c r="N70" i="2"/>
  <c r="N2" i="2"/>
  <c r="N71" i="2"/>
  <c r="N72" i="2"/>
  <c r="N73" i="2"/>
  <c r="N74" i="2"/>
  <c r="N75" i="2"/>
  <c r="N76" i="2"/>
  <c r="N77" i="2"/>
  <c r="N10" i="2"/>
  <c r="N78" i="2"/>
  <c r="N79" i="2"/>
  <c r="N80" i="2"/>
  <c r="N81" i="2"/>
  <c r="N82" i="2"/>
  <c r="N83" i="2"/>
  <c r="N84" i="2"/>
  <c r="N85" i="2"/>
  <c r="N86" i="2"/>
  <c r="N87" i="2"/>
  <c r="N88" i="2"/>
  <c r="N7" i="2"/>
  <c r="N89" i="2"/>
  <c r="N90" i="2"/>
  <c r="N91" i="2"/>
  <c r="N92" i="2"/>
  <c r="N93" i="2"/>
  <c r="N14" i="2"/>
  <c r="N94" i="2"/>
  <c r="N95" i="2"/>
  <c r="N11" i="2"/>
  <c r="N96" i="2"/>
  <c r="N97" i="2"/>
  <c r="N98" i="2"/>
  <c r="N9" i="2"/>
  <c r="N99" i="2"/>
  <c r="N100" i="2"/>
  <c r="N101" i="2"/>
  <c r="N102" i="2"/>
  <c r="N103" i="2"/>
  <c r="N12"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3" i="2"/>
  <c r="N456" i="2"/>
  <c r="N8" i="2"/>
  <c r="N457" i="2"/>
  <c r="N458" i="2"/>
  <c r="N459" i="2"/>
  <c r="N460" i="2"/>
  <c r="N461" i="2"/>
  <c r="N462" i="2"/>
  <c r="N463" i="2"/>
  <c r="N464" i="2"/>
  <c r="M20" i="2"/>
  <c r="M21" i="2"/>
  <c r="M22" i="2"/>
  <c r="M19" i="2"/>
  <c r="M4" i="2"/>
  <c r="M23" i="2"/>
  <c r="M24" i="2"/>
  <c r="M17" i="2"/>
  <c r="M25" i="2"/>
  <c r="M26" i="2"/>
  <c r="M27" i="2"/>
  <c r="M28" i="2"/>
  <c r="M29" i="2"/>
  <c r="M30" i="2"/>
  <c r="M16" i="2"/>
  <c r="M31" i="2"/>
  <c r="M18" i="2"/>
  <c r="M32" i="2"/>
  <c r="M33" i="2"/>
  <c r="M34" i="2"/>
  <c r="M35" i="2"/>
  <c r="M36" i="2"/>
  <c r="M37" i="2"/>
  <c r="M38" i="2"/>
  <c r="M39" i="2"/>
  <c r="M40" i="2"/>
  <c r="M41" i="2"/>
  <c r="M42" i="2"/>
  <c r="M43" i="2"/>
  <c r="M44" i="2"/>
  <c r="M45" i="2"/>
  <c r="M46" i="2"/>
  <c r="M47" i="2"/>
  <c r="M48" i="2"/>
  <c r="M49" i="2"/>
  <c r="M50" i="2"/>
  <c r="M51" i="2"/>
  <c r="M5" i="2"/>
  <c r="M52" i="2"/>
  <c r="M53" i="2"/>
  <c r="M54" i="2"/>
  <c r="M55" i="2"/>
  <c r="M56" i="2"/>
  <c r="M57" i="2"/>
  <c r="M58" i="2"/>
  <c r="M59" i="2"/>
  <c r="M60" i="2"/>
  <c r="M61" i="2"/>
  <c r="M62" i="2"/>
  <c r="M13" i="2"/>
  <c r="M63" i="2"/>
  <c r="M64" i="2"/>
  <c r="M65" i="2"/>
  <c r="M66" i="2"/>
  <c r="M6" i="2"/>
  <c r="M15" i="2"/>
  <c r="M67" i="2"/>
  <c r="M68" i="2"/>
  <c r="M69" i="2"/>
  <c r="M70" i="2"/>
  <c r="M2" i="2"/>
  <c r="M71" i="2"/>
  <c r="M72" i="2"/>
  <c r="M73" i="2"/>
  <c r="M74" i="2"/>
  <c r="M75" i="2"/>
  <c r="M76" i="2"/>
  <c r="M77" i="2"/>
  <c r="M10" i="2"/>
  <c r="M78" i="2"/>
  <c r="M79" i="2"/>
  <c r="M80" i="2"/>
  <c r="M81" i="2"/>
  <c r="M82" i="2"/>
  <c r="M83" i="2"/>
  <c r="M84" i="2"/>
  <c r="M85" i="2"/>
  <c r="M86" i="2"/>
  <c r="M87" i="2"/>
  <c r="M88" i="2"/>
  <c r="M7" i="2"/>
  <c r="M89" i="2"/>
  <c r="M90" i="2"/>
  <c r="M91" i="2"/>
  <c r="M92" i="2"/>
  <c r="M93" i="2"/>
  <c r="M14" i="2"/>
  <c r="M94" i="2"/>
  <c r="M95" i="2"/>
  <c r="M11" i="2"/>
  <c r="M96" i="2"/>
  <c r="M97" i="2"/>
  <c r="M98" i="2"/>
  <c r="M9" i="2"/>
  <c r="M99" i="2"/>
  <c r="M100" i="2"/>
  <c r="M101" i="2"/>
  <c r="M102" i="2"/>
  <c r="M103" i="2"/>
  <c r="M12"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3" i="2"/>
  <c r="M456" i="2"/>
  <c r="M8" i="2"/>
  <c r="M457" i="2"/>
  <c r="M458" i="2"/>
  <c r="M459" i="2"/>
  <c r="M460" i="2"/>
  <c r="M461" i="2"/>
  <c r="M462" i="2"/>
  <c r="M463" i="2"/>
  <c r="M464" i="2"/>
  <c r="R2" i="2" l="1"/>
  <c r="R3" i="2"/>
  <c r="R4" i="2"/>
  <c r="R5" i="2"/>
  <c r="R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5EA530-EF9D-4C28-B179-3E31517FB42B}" keepAlive="1" name="Query - Data_Caso_Propuesto" description="Connection to the 'Data_Caso_Propuesto' query in the workbook." type="5" refreshedVersion="8" background="1" saveData="1">
    <dbPr connection="Provider=Microsoft.Mashup.OleDb.1;Data Source=$Workbook$;Location=Data_Caso_Propuesto;Extended Properties=&quot;&quot;" command="SELECT * FROM [Data_Caso_Propuesto]"/>
  </connection>
</connections>
</file>

<file path=xl/sharedStrings.xml><?xml version="1.0" encoding="utf-8"?>
<sst xmlns="http://schemas.openxmlformats.org/spreadsheetml/2006/main" count="5095" uniqueCount="1106">
  <si>
    <t>Codigo</t>
  </si>
  <si>
    <t>Ciudad</t>
  </si>
  <si>
    <t>Departamento</t>
  </si>
  <si>
    <t>Barrio</t>
  </si>
  <si>
    <t>Direccion</t>
  </si>
  <si>
    <t>Area Terreno</t>
  </si>
  <si>
    <t>Area Construida</t>
  </si>
  <si>
    <t>Detalle Disponibilidad</t>
  </si>
  <si>
    <t>Estrato</t>
  </si>
  <si>
    <t>Precio</t>
  </si>
  <si>
    <t>Tipo de Inmueble</t>
  </si>
  <si>
    <t>Datos Adicionales</t>
  </si>
  <si>
    <t>17180</t>
  </si>
  <si>
    <t>BOGOTA</t>
  </si>
  <si>
    <t>CUNDINAMARCA</t>
  </si>
  <si>
    <t/>
  </si>
  <si>
    <t>0</t>
  </si>
  <si>
    <t>COMERCIALIZABLE CON RESTRICCION</t>
  </si>
  <si>
    <t>TRES</t>
  </si>
  <si>
    <t>LOTE COMERCIAL</t>
  </si>
  <si>
    <t>ESTE INMUEBLE SE COMERCIALIZARÁ A TRAVES DE SUBASTA ESPECIAL</t>
  </si>
  <si>
    <t>19292</t>
  </si>
  <si>
    <t>COMERCIALIZABLE</t>
  </si>
  <si>
    <t>COMERCIAL</t>
  </si>
  <si>
    <t>EDIFICIO</t>
  </si>
  <si>
    <t>COMERCIALIZABLE VENTA ANTICIPADA</t>
  </si>
  <si>
    <t>2575</t>
  </si>
  <si>
    <t>SOGAMOSO</t>
  </si>
  <si>
    <t>BOYACÁ</t>
  </si>
  <si>
    <t>CENTRO</t>
  </si>
  <si>
    <t>7269</t>
  </si>
  <si>
    <t>CUATRO</t>
  </si>
  <si>
    <t>CLINICA</t>
  </si>
  <si>
    <t>ESTE INMUEBLE SE COMERCIALIZARÁ A TRAVÉS DE SUBASTA PÚBLICA</t>
  </si>
  <si>
    <t>11409</t>
  </si>
  <si>
    <t>BUGA</t>
  </si>
  <si>
    <t>VALLE DEL CAUCA</t>
  </si>
  <si>
    <t>VEREDA CHAMBIMBAL</t>
  </si>
  <si>
    <t>LT A1-A24 B1-B79 C1-C51 D1-D9 STA ROSA LT1-46 LT  1-7 1-10 1-11 KR 8 -37</t>
  </si>
  <si>
    <t>22724</t>
  </si>
  <si>
    <t>COMERCIALIZABLE FIDUCIA</t>
  </si>
  <si>
    <t>RURAL</t>
  </si>
  <si>
    <t>LOTE MIXTO</t>
  </si>
  <si>
    <t>17120</t>
  </si>
  <si>
    <t>PUERTO LOPEZ</t>
  </si>
  <si>
    <t>META</t>
  </si>
  <si>
    <t>LOTE CON CONSTRUCCION</t>
  </si>
  <si>
    <t>19340</t>
  </si>
  <si>
    <t>TARAZA</t>
  </si>
  <si>
    <t>ANTIOQUIA</t>
  </si>
  <si>
    <t>LETICIA 23 URUGUAY - PIEDRA BRAVA (CULTIVO CAUCHO)</t>
  </si>
  <si>
    <t>COMERCIALIZABLE TERCEROS</t>
  </si>
  <si>
    <t>INMUEBLE UBICADO EN EL CORREGIMIENTO DE LA CAUCANA, VEREDA PIEDRA BRAVA DEL MUNICIPIO DE TARAZÁ, LOTE DE TERRENO RURAL AGROPECUARIO, CON CULTIVO DE CAUCHO EL INMUEBLE SE ENCUENTRA CLASIFICADO DENTRO DEL SUELO RURAL DEL MUNICIPIO, EN ZONA DE INCENTIVO</t>
  </si>
  <si>
    <t>5017</t>
  </si>
  <si>
    <t>RICAURTE</t>
  </si>
  <si>
    <t>CONDOMINIO CAMPESTRE MONACO</t>
  </si>
  <si>
    <t>LT 1 TAMBACU HO GIRARDOT RESORT</t>
  </si>
  <si>
    <t>5142</t>
  </si>
  <si>
    <t>HOTEL</t>
  </si>
  <si>
    <t>17865</t>
  </si>
  <si>
    <t>FUNZA</t>
  </si>
  <si>
    <t>INDUSTRIAL</t>
  </si>
  <si>
    <t>BODEGA</t>
  </si>
  <si>
    <t>19304</t>
  </si>
  <si>
    <t>SEIS</t>
  </si>
  <si>
    <t>APARTAMENTO</t>
  </si>
  <si>
    <t>18980</t>
  </si>
  <si>
    <t>ENVIGADO</t>
  </si>
  <si>
    <t>LOTE VIVIENDA</t>
  </si>
  <si>
    <t>18998</t>
  </si>
  <si>
    <t>PEREIRA</t>
  </si>
  <si>
    <t>RISARALDA</t>
  </si>
  <si>
    <t>CINCO</t>
  </si>
  <si>
    <t>FINCA</t>
  </si>
  <si>
    <t>19188</t>
  </si>
  <si>
    <t>BUCARAMANGA</t>
  </si>
  <si>
    <t>SANTANDER</t>
  </si>
  <si>
    <t>EN PUJA</t>
  </si>
  <si>
    <t>EDIFICIO OFICINAS</t>
  </si>
  <si>
    <t>19143</t>
  </si>
  <si>
    <t>CALI</t>
  </si>
  <si>
    <t>DOS</t>
  </si>
  <si>
    <t>ESTE INMUEBLE ES PROPIEDAD DE EMCALI</t>
  </si>
  <si>
    <t>5616</t>
  </si>
  <si>
    <t>CHIA</t>
  </si>
  <si>
    <t>VEREDA FONQUETA</t>
  </si>
  <si>
    <t>FINCA SAN ANTONIO DE LOS VIENTOS - VEREDA FONQUETA CHIA</t>
  </si>
  <si>
    <t>570</t>
  </si>
  <si>
    <t>19201</t>
  </si>
  <si>
    <t>MEDELLIN</t>
  </si>
  <si>
    <t>5117</t>
  </si>
  <si>
    <t>KR 16B # 59A-03 SUR Ó CL 59B SUR # 13F-10</t>
  </si>
  <si>
    <t>19331</t>
  </si>
  <si>
    <t>VILLAVICENCIO</t>
  </si>
  <si>
    <t>CASA</t>
  </si>
  <si>
    <t>17648</t>
  </si>
  <si>
    <t>CALLE 82 NO 19A 14</t>
  </si>
  <si>
    <t>17745</t>
  </si>
  <si>
    <t>17392</t>
  </si>
  <si>
    <t>KR 10A 22A 18 SUR - SOSIEGO - SECTOR FUCHA- MZ B-B/36 LT 35</t>
  </si>
  <si>
    <t>19286</t>
  </si>
  <si>
    <t>CL 19 13A 12 LOCAL 01</t>
  </si>
  <si>
    <t>LOCAL</t>
  </si>
  <si>
    <t>17394</t>
  </si>
  <si>
    <t>KR 10A-22 S 36</t>
  </si>
  <si>
    <t>19285</t>
  </si>
  <si>
    <t>CL 19 13A 12 LOCAL</t>
  </si>
  <si>
    <t>19332</t>
  </si>
  <si>
    <t>LA CEJA</t>
  </si>
  <si>
    <t>LOTE (1) PA QUE MAS - VEREDA NICOLAS</t>
  </si>
  <si>
    <t>18976</t>
  </si>
  <si>
    <t>CARTAGENA</t>
  </si>
  <si>
    <t>BOLÍVAR</t>
  </si>
  <si>
    <t>LOTE INDUSTRIAL</t>
  </si>
  <si>
    <t>19335</t>
  </si>
  <si>
    <t>LETICIA 22 - PIEDRA BRAVA (CULTIVO DE CAUCHO)</t>
  </si>
  <si>
    <t>19342</t>
  </si>
  <si>
    <t>MONTEPIO 1 VEREDA QUINTERÓN (CULTIVO CAUCHO)</t>
  </si>
  <si>
    <t>19343</t>
  </si>
  <si>
    <t>MONTEPIO 2 VEREDA QUINTERÓN (CULTIVO CAUCHO)</t>
  </si>
  <si>
    <t>SE ENCUENTRA UBICADO EN EL CORREGIMIENTO DE LA CAUCANA, VEREDA QUINTERÓN DEL MUNICIPIO DE TARAZÁ, ACTUALMENTE LOTE DE TERRENO DESTINADA A CULTIVO DE CAUCHO, EL INMUEBLE SE ENCUENTRA CLASIFICADO DENTRO DEL SUELO RURAL DEL MUNICIPIO, EN ZONA DE INCENTI</t>
  </si>
  <si>
    <t>19344</t>
  </si>
  <si>
    <t>MONTEPIO 3 VEREDA QUINTERÓN (CULTIVO CAUCHO)</t>
  </si>
  <si>
    <t>19193</t>
  </si>
  <si>
    <t>CAUCASIA</t>
  </si>
  <si>
    <t>LOTE</t>
  </si>
  <si>
    <t>19192</t>
  </si>
  <si>
    <t>PUERTO BOYACA</t>
  </si>
  <si>
    <t>19181</t>
  </si>
  <si>
    <t>MONTERIA</t>
  </si>
  <si>
    <t>CÓRDOBA</t>
  </si>
  <si>
    <t>19006</t>
  </si>
  <si>
    <t>INMUEBLE PROPIEDAD DE LA UNIDAD DE REPARACIÓN DE VÍCTIMAS - UARIV</t>
  </si>
  <si>
    <t>19202</t>
  </si>
  <si>
    <t>TURBO</t>
  </si>
  <si>
    <t>19303</t>
  </si>
  <si>
    <t>OFICINA</t>
  </si>
  <si>
    <t>18640</t>
  </si>
  <si>
    <t>LA DORADA</t>
  </si>
  <si>
    <t>CALDAS</t>
  </si>
  <si>
    <t>INMUEBLE DENOMINADO MORROCOYAL</t>
  </si>
  <si>
    <t>LOTE UBICADO EN SECTOR FERIAS VIEJAS DE LS DORADA CALDAS, CUENTA CON VARIAS CONSTRUCCIONES COMO PORTERÍA, BASCULA, AREA DE JUEGOS INFANTILES Y DOS CASAS UNA DE ELLA USADA COMO ALMACENAMIENTO</t>
  </si>
  <si>
    <t>12120</t>
  </si>
  <si>
    <t>CALIMA EL DARIEN</t>
  </si>
  <si>
    <t>VEREDA PALERMO</t>
  </si>
  <si>
    <t>LT 2</t>
  </si>
  <si>
    <t>19287</t>
  </si>
  <si>
    <t>CL 19 13A 12 LOCAL 104</t>
  </si>
  <si>
    <t>17345</t>
  </si>
  <si>
    <t>AV 30 DE AGOSTO</t>
  </si>
  <si>
    <t>18983</t>
  </si>
  <si>
    <t>18831</t>
  </si>
  <si>
    <t>EL PLAYON</t>
  </si>
  <si>
    <t>17797</t>
  </si>
  <si>
    <t>10106</t>
  </si>
  <si>
    <t>BARRANQUILLA</t>
  </si>
  <si>
    <t>ATLÁNTICO</t>
  </si>
  <si>
    <t>CALLE 39 NO 43 58 62 LC 1</t>
  </si>
  <si>
    <t>DESEAS INVERTIR ESTA ES LA OPORTUNIDAD LOCAL EN EL CENTRO DE LA CIUDAD CON UN ÁREA DE 247 METROS</t>
  </si>
  <si>
    <t>19194</t>
  </si>
  <si>
    <t>BUENAVISTA</t>
  </si>
  <si>
    <t>Finca Nuevo Pensar - Hoy La Cabaña</t>
  </si>
  <si>
    <t>19196</t>
  </si>
  <si>
    <t>Parcela 7 Damasco - Vereda Guasimal</t>
  </si>
  <si>
    <t>INMUEBLE RURAL DE 35 HA UBICADA EN PARCELA 7 DAMASCO VEREDA GUASIMAL MUNICIPIO DE VALENCIA DEPARTAMENTO DE CÓRDOBA ,LOTE DE TERRENO CON DESTINACIÓN GANADERA</t>
  </si>
  <si>
    <t>19333</t>
  </si>
  <si>
    <t>SONSON</t>
  </si>
  <si>
    <t>BUENOS AIRES - VEREDA LA MESA</t>
  </si>
  <si>
    <t>INMUEBLE RURAL DESTINADO A VIVIENDA, CUENTA CON CASA PRINCIPAL, PISCINA Y ZONA DURA, PESEBRERA  UBICADO EN VEREDA LA MESA MUNICIPIO DE SONSON</t>
  </si>
  <si>
    <t>17653</t>
  </si>
  <si>
    <t>SOATA</t>
  </si>
  <si>
    <t>19300</t>
  </si>
  <si>
    <t>12117</t>
  </si>
  <si>
    <t>LT 3B2</t>
  </si>
  <si>
    <t>19206</t>
  </si>
  <si>
    <t>19001</t>
  </si>
  <si>
    <t>UNO</t>
  </si>
  <si>
    <t>17993</t>
  </si>
  <si>
    <t>19197</t>
  </si>
  <si>
    <t>Parcela 5 Damasco - Vereda Guasimal</t>
  </si>
  <si>
    <t>INMUEBLE RURAL, LOTE DE TERRENO PARCELA #5 DAMASCO VEREDA GUASIMAL MONTERIA - CÓRDOBA CON DESTINACION AGROPECUARIO</t>
  </si>
  <si>
    <t>12114</t>
  </si>
  <si>
    <t>LT 1B</t>
  </si>
  <si>
    <t>12113</t>
  </si>
  <si>
    <t>LT 4</t>
  </si>
  <si>
    <t>19205</t>
  </si>
  <si>
    <t>¡GRAN OPORTUNIDAD! OFICINA UBICADA EN EL EDIFICIO SAN PABLO EN EL BARRIO SURAMERICANA, LA OFICINA  SE DISTRIBUYE DE LA SIGUIENTE MANERA: ACCESO, RECEPCIÓN, OFICINA EN UN SOLO AMBIENTE, DEPOSITO, BAÑO Y COCINA CON UN ÁREA DE 72 M2</t>
  </si>
  <si>
    <t>13270</t>
  </si>
  <si>
    <t>MANIZALES</t>
  </si>
  <si>
    <t>EL CENTRO</t>
  </si>
  <si>
    <t>KR 22 # 29-31 LC S-8 CENTRO COMERCIAL PARQUE CALDAS</t>
  </si>
  <si>
    <t>19341</t>
  </si>
  <si>
    <t>FINCA LA LUNA AVICOLA SAN JUAN (CULTIVO CAUCHO)</t>
  </si>
  <si>
    <t>19161</t>
  </si>
  <si>
    <t>CASA UBICADA EN EL CENTRO DE LA INSPECCION MUNICIPAL DE SAN MIGUEL, CON ÁREA DE 296 M2, DISTRIBUIDOS ASI: SALA COMEDOR BAÑO SOCIAL, COCINA, 5 ALCOBAS CON BAÑO PRIVADO, PATIO, DEPOSITO, ZONA DE LAVADO</t>
  </si>
  <si>
    <t>12112</t>
  </si>
  <si>
    <t>RESERVA FORESTAL LT 1A</t>
  </si>
  <si>
    <t>19210</t>
  </si>
  <si>
    <t>19203</t>
  </si>
  <si>
    <t>NORCASIA</t>
  </si>
  <si>
    <t>La Esperanza - Vereda La Quiebra de Roque</t>
  </si>
  <si>
    <t>¡GRAN OPORTUNIDAD! FINCA LA ESPERANZA UBICADA EN NORCASIA- QUIEBRA DE ROCHE</t>
  </si>
  <si>
    <t>19209</t>
  </si>
  <si>
    <t>19211</t>
  </si>
  <si>
    <t>12116</t>
  </si>
  <si>
    <t>LT 3B1</t>
  </si>
  <si>
    <t>18982</t>
  </si>
  <si>
    <t>19212</t>
  </si>
  <si>
    <t>19213</t>
  </si>
  <si>
    <t>17573</t>
  </si>
  <si>
    <t>SANMIGUEL</t>
  </si>
  <si>
    <t>PUTUMAYO</t>
  </si>
  <si>
    <t>CENTRO NACIONAL DE ATENCION DE FRONTERAS - CENAF</t>
  </si>
  <si>
    <t>17358</t>
  </si>
  <si>
    <t>CLL 5A N° 20-88 LOS ALCAZARES</t>
  </si>
  <si>
    <t>19162</t>
  </si>
  <si>
    <t>PIEDECUESTA</t>
  </si>
  <si>
    <t>19337</t>
  </si>
  <si>
    <t>LETICIA 20 - PIEDRA BRAVA</t>
  </si>
  <si>
    <t>18706</t>
  </si>
  <si>
    <t>18547</t>
  </si>
  <si>
    <t>CL 42 A SUR  72H 18</t>
  </si>
  <si>
    <t>12121</t>
  </si>
  <si>
    <t>LT 3A</t>
  </si>
  <si>
    <t>18644</t>
  </si>
  <si>
    <t>EL PRADO</t>
  </si>
  <si>
    <t>CARRERA 54 # 68-124</t>
  </si>
  <si>
    <t>19214</t>
  </si>
  <si>
    <t>19198</t>
  </si>
  <si>
    <t>VALENCIA</t>
  </si>
  <si>
    <t>Predio La Cabaña - Vereda Tinajones - Corregimiento Villanueva</t>
  </si>
  <si>
    <t>LOTE CON CONSTRUCCION LA CABAÑA UBICADO EN EL CORREGIMIENTO DE VILLANUEVA, DEL MUNICIPIO DE VALENCIA, DEPARTAMENTO DE CÓRDOBA,USO PRINCIPAL:
GENERACIÓN DE PRODUCTOS AGRÍCOLAS CON FORESTALES MADERABLES Y NO MADERABLES, BAJO EL CONCEPTO DE MANEJO SOSTE</t>
  </si>
  <si>
    <t>18795</t>
  </si>
  <si>
    <t>11787</t>
  </si>
  <si>
    <t>SANTANDER DE QUILICHAO</t>
  </si>
  <si>
    <t>CAUCA</t>
  </si>
  <si>
    <t>PARQUE IND CAUCADESA</t>
  </si>
  <si>
    <t>LT 8 ET I  PARQUE INDUSTRIAL  CAUCADESA</t>
  </si>
  <si>
    <t>19220</t>
  </si>
  <si>
    <t>TULUA</t>
  </si>
  <si>
    <t>18568</t>
  </si>
  <si>
    <t>LOTE - 2</t>
  </si>
  <si>
    <t>2669</t>
  </si>
  <si>
    <t>LA CALERA</t>
  </si>
  <si>
    <t>LOTE 3 PARCELACIÓN LOS CERROS HACIENDA SAN RAFAEL</t>
  </si>
  <si>
    <t>19199</t>
  </si>
  <si>
    <t>Predio Finca Sam Andrés - Vereda Tinajones - Corregimiento Villanueva</t>
  </si>
  <si>
    <t>17350</t>
  </si>
  <si>
    <t>18806</t>
  </si>
  <si>
    <t>12115</t>
  </si>
  <si>
    <t>LT 1C</t>
  </si>
  <si>
    <t>700</t>
  </si>
  <si>
    <t>19005</t>
  </si>
  <si>
    <t>TIERRALTA</t>
  </si>
  <si>
    <t>17107</t>
  </si>
  <si>
    <t>ACANDI</t>
  </si>
  <si>
    <t>CHOCÓ</t>
  </si>
  <si>
    <t>CORREGIMIENTO TITUMATE</t>
  </si>
  <si>
    <t>19338</t>
  </si>
  <si>
    <t>APARTAMENTO 101 BLOQUE 1</t>
  </si>
  <si>
    <t>17344</t>
  </si>
  <si>
    <t>18632</t>
  </si>
  <si>
    <t>CARRERA 9 # 17 - 54 OFICINA 508</t>
  </si>
  <si>
    <t>12119</t>
  </si>
  <si>
    <t>LT 3B4</t>
  </si>
  <si>
    <t>1765</t>
  </si>
  <si>
    <t>19218</t>
  </si>
  <si>
    <t>17106</t>
  </si>
  <si>
    <t>CORREGIMIENTO DE GILGAL</t>
  </si>
  <si>
    <t>19195</t>
  </si>
  <si>
    <t>19339</t>
  </si>
  <si>
    <t>CALLE 47B N° 27 - 25 APARTAMENTO 201 BLOQUE 3</t>
  </si>
  <si>
    <t>17861</t>
  </si>
  <si>
    <t>EL ROSAL</t>
  </si>
  <si>
    <t>LA MANCHA VEREDA PUERTA DEL CUERO</t>
  </si>
  <si>
    <t>18959</t>
  </si>
  <si>
    <t>ALTO BOSQUE</t>
  </si>
  <si>
    <t>18958</t>
  </si>
  <si>
    <t>17351</t>
  </si>
  <si>
    <t>19219</t>
  </si>
  <si>
    <t>SAN MARTIN</t>
  </si>
  <si>
    <t>19131</t>
  </si>
  <si>
    <t>17404</t>
  </si>
  <si>
    <t>KR 45B 38 27 SUR MUZU ETAPA 2 COMERCIO N° 1 MZ 17 LOCAL</t>
  </si>
  <si>
    <t>18532</t>
  </si>
  <si>
    <t>CENTRAL MINORISTA DE ABASTOS DE VILLAVICENCIO - CEMERCA Local R0702</t>
  </si>
  <si>
    <t>19142</t>
  </si>
  <si>
    <t>Km 8 Vía al Mar Hacienda Saratoga AG 23 Lote 15A</t>
  </si>
  <si>
    <t>18439</t>
  </si>
  <si>
    <t>CENTRAL MINORISTA DE ABASTOS DE VILLAVICENCIO - CEMERCA Local G0601</t>
  </si>
  <si>
    <t>18443</t>
  </si>
  <si>
    <t>CENTRAL MINORISTA DE ABASTOS DE VILLAVICENCIO - CEMERCA Local G0608</t>
  </si>
  <si>
    <t>17341</t>
  </si>
  <si>
    <t>18850</t>
  </si>
  <si>
    <t>KILÓMETRO 4  DE LA VÍA MAMONAL  CARRERA 56, #60D-240, #60D-170, BODEGA 24 BARRIO ARROZ BARATO SECTOR PUERTA DE HIERRO</t>
  </si>
  <si>
    <t>18445</t>
  </si>
  <si>
    <t>CENTRAL MINORISTA DE ABASTOS DE VILLAVICENCIO - CEMERCA Local G0611</t>
  </si>
  <si>
    <t>19141</t>
  </si>
  <si>
    <t>Km 8 Vía al Mar Saladito AG 22 Lote 9E</t>
  </si>
  <si>
    <t>19330</t>
  </si>
  <si>
    <t>KR 100 17A 41 LC 334</t>
  </si>
  <si>
    <t>18522</t>
  </si>
  <si>
    <t>CENTRAL MINORISTA DE ABASTOS DE VILLAVICENCIO - CEMERCA Local R0301</t>
  </si>
  <si>
    <t>18523</t>
  </si>
  <si>
    <t>CENTRAL MINORISTA DE ABASTOS DE VILLAVICENCIO - CEMERCA Local R0302</t>
  </si>
  <si>
    <t>18524</t>
  </si>
  <si>
    <t>CENTRAL MINORISTA DE ABASTOS DE VILLAVICENCIO - CEMERCA Local R0303</t>
  </si>
  <si>
    <t>18525</t>
  </si>
  <si>
    <t>CENTRAL MINORISTA DE ABASTOS DE VILLAVICENCIO - CEMERCA Local R0403</t>
  </si>
  <si>
    <t>12732</t>
  </si>
  <si>
    <t>VEREDA EL SALADITO</t>
  </si>
  <si>
    <t>LOTE 9C DIVISION REALIZADA A LA ANTIGUA HACIENDA SARATOGA</t>
  </si>
  <si>
    <t>19296</t>
  </si>
  <si>
    <t>Garaje 14 Calle 123 9C-45 Edificio EDJAK</t>
  </si>
  <si>
    <t>GARAJE</t>
  </si>
  <si>
    <t>19295</t>
  </si>
  <si>
    <t>Garaje 15 Calle 123 9C-45 Edificio EDJAK</t>
  </si>
  <si>
    <t>18499</t>
  </si>
  <si>
    <t>CENTRAL MINORISTA DE ABASTOS DE VILLAVICENCIO - CEMERCA Local G1301</t>
  </si>
  <si>
    <t>18038</t>
  </si>
  <si>
    <t>GIRARDOT</t>
  </si>
  <si>
    <t>LOCAL 15 CENTRO COMERCIAL EL PEÑON INN PLAZA</t>
  </si>
  <si>
    <t>17342</t>
  </si>
  <si>
    <t>18837</t>
  </si>
  <si>
    <t>KILÓMETRO 4  DE LA VÍA MAMONAL  CARRERA 56, #60D-240, #60D-170, BODEGA 1 BARRIO ARROZ BARATO SECTOR PUERTA DE HIERRO</t>
  </si>
  <si>
    <t>18840</t>
  </si>
  <si>
    <t>KILÓMETRO 4  DE LA VÍA MAMONAL  CARRERA 56, #60D-240, #60D-170, BODEGA 4 BARRIO ARROZ BARATO SECTOR PUERTA DE HIERRO</t>
  </si>
  <si>
    <t>18176</t>
  </si>
  <si>
    <t>CENTRAL MINORISTA DE ABASTOS DE VILLAVICENCIO - CEMERCA Local A2604</t>
  </si>
  <si>
    <t>17190</t>
  </si>
  <si>
    <t>BUENAVENTURA</t>
  </si>
  <si>
    <t>GALEÓN ZONA B</t>
  </si>
  <si>
    <t>KR 50  N° 4-20  BARRIO GALEON ZONA B</t>
  </si>
  <si>
    <t>17007</t>
  </si>
  <si>
    <t>18109</t>
  </si>
  <si>
    <t>CENTRAL MINORISTA DE ABASTOS DE VILLAVICENCIO - CEMERCA Local A0607</t>
  </si>
  <si>
    <t>18433</t>
  </si>
  <si>
    <t>CENTRAL MINORISTA DE ABASTOS DE VILLAVICENCIO - CEMERCA Local G0513</t>
  </si>
  <si>
    <t>18497</t>
  </si>
  <si>
    <t>CENTRAL MINORISTA DE ABASTOS DE VILLAVICENCIO - CEMERCA Local G1201</t>
  </si>
  <si>
    <t>18422</t>
  </si>
  <si>
    <t>CENTRAL MINORISTA DE ABASTOS DE VILLAVICENCIO - CEMERCA Local G0403</t>
  </si>
  <si>
    <t>18996</t>
  </si>
  <si>
    <t>18498</t>
  </si>
  <si>
    <t>CENTRAL MINORISTA DE ABASTOS DE VILLAVICENCIO - CEMERCA Local G1208</t>
  </si>
  <si>
    <t>18440</t>
  </si>
  <si>
    <t>CENTRAL MINORISTA DE ABASTOS DE VILLAVICENCIO - CEMERCA Local G0602</t>
  </si>
  <si>
    <t>18441</t>
  </si>
  <si>
    <t>CENTRAL MINORISTA DE ABASTOS DE VILLAVICENCIO - CEMERCA Local G0606</t>
  </si>
  <si>
    <t>18444</t>
  </si>
  <si>
    <t>CENTRAL MINORISTA DE ABASTOS DE VILLAVICENCIO - CEMERCA Local G0610</t>
  </si>
  <si>
    <t>18848</t>
  </si>
  <si>
    <t>KILÓMETRO 4  DE LA VÍA MAMONAL  CARRERA 56, #60D-240, #60D-170, BODEGA 23 BARRIO ARROZ BARATO SECTOR PUERTA DE HIERRO</t>
  </si>
  <si>
    <t>18114</t>
  </si>
  <si>
    <t>CENTRAL MINORISTA DE ABASTOS DE VILLAVICENCIO - CEMERCA Local A0812</t>
  </si>
  <si>
    <t>18148</t>
  </si>
  <si>
    <t>CENTRAL MINORISTA DE ABASTOS DE VILLAVICENCIO - CEMERCA Local A2111</t>
  </si>
  <si>
    <t>18149</t>
  </si>
  <si>
    <t>CENTRAL MINORISTA DE ABASTOS DE VILLAVICENCIO - CEMERCA Local A2112</t>
  </si>
  <si>
    <t>18838</t>
  </si>
  <si>
    <t>KILÓMETRO 4  DE LA VÍA MAMONAL  CARRERA 56, #60D-240, #60D-170, BODEGA 2 BARRIO ARROZ BARATO SECTOR PUERTA DE HIERRO</t>
  </si>
  <si>
    <t>18432</t>
  </si>
  <si>
    <t>CENTRAL MINORISTA DE ABASTOS DE VILLAVICENCIO - CEMERCA Local G0512</t>
  </si>
  <si>
    <t>18839</t>
  </si>
  <si>
    <t>KILÓMETRO 4  DE LA VÍA MAMONAL  CARRERA 56, #60D-240, #60D-170, BODEGA 3 BARRIO ARROZ BARATO SECTOR PUERTA DE HIERRO</t>
  </si>
  <si>
    <t>18851</t>
  </si>
  <si>
    <t>KILÓMETRO 4  DE LA VÍA MAMONAL  CARRERA 56, #60D-240, #60D-170, BODEGA 25 BARRIO ARROZ BARATO SECTOR PUERTA DE HIERRO</t>
  </si>
  <si>
    <t>18513</t>
  </si>
  <si>
    <t>CENTRAL MINORISTA DE ABASTOS DE VILLAVICENCIO - CEMERCA Local G1421</t>
  </si>
  <si>
    <t>18146</t>
  </si>
  <si>
    <t>CENTRAL MINORISTA DE ABASTOS DE VILLAVICENCIO - CEMERCA Local A2101</t>
  </si>
  <si>
    <t>18150</t>
  </si>
  <si>
    <t>CENTRAL MINORISTA DE ABASTOS DE VILLAVICENCIO - CEMERCA Local A2201</t>
  </si>
  <si>
    <t>18154</t>
  </si>
  <si>
    <t>CENTRAL MINORISTA DE ABASTOS DE VILLAVICENCIO - CEMERCA Local A2222</t>
  </si>
  <si>
    <t>18530</t>
  </si>
  <si>
    <t>CENTRAL MINORISTA DE ABASTOS DE VILLAVICENCIO - CEMERCA Local R0603</t>
  </si>
  <si>
    <t>18507</t>
  </si>
  <si>
    <t>CENTRAL MINORISTA DE ABASTOS DE VILLAVICENCIO - CEMERCA Local G1401</t>
  </si>
  <si>
    <t>18847</t>
  </si>
  <si>
    <t>KILÓMETRO 4  DE LA VÍA MAMONAL  CARRERA 56, #60D-240, #60D-170, BODEGA 22 BARRIO ARROZ BARATO SECTOR PUERTA DE HIERRO</t>
  </si>
  <si>
    <t>18511</t>
  </si>
  <si>
    <t>CENTRAL MINORISTA DE ABASTOS DE VILLAVICENCIO - CEMERCA Local G1411</t>
  </si>
  <si>
    <t>19334</t>
  </si>
  <si>
    <t>LETICIA 21 - PIEDRA BRAVA</t>
  </si>
  <si>
    <t>18510</t>
  </si>
  <si>
    <t>CENTRAL MINORISTA DE ABASTOS DE VILLAVICENCIO - CEMERCA Local G1410</t>
  </si>
  <si>
    <t>17798</t>
  </si>
  <si>
    <t>18415</t>
  </si>
  <si>
    <t>CENTRAL MINORISTA DE ABASTOS DE VILLAVICENCIO - CEMERCA Local G0315</t>
  </si>
  <si>
    <t>18290</t>
  </si>
  <si>
    <t>CENTRAL MINORISTA DE ABASTOS DE VILLAVICENCIO - CEMERCA Local A3821</t>
  </si>
  <si>
    <t>18512</t>
  </si>
  <si>
    <t>CENTRAL MINORISTA DE ABASTOS DE VILLAVICENCIO - CEMERCA Local G1419</t>
  </si>
  <si>
    <t>18508</t>
  </si>
  <si>
    <t>CENTRAL MINORISTA DE ABASTOS DE VILLAVICENCIO - CEMERCA Local G1402</t>
  </si>
  <si>
    <t>18509</t>
  </si>
  <si>
    <t>CENTRAL MINORISTA DE ABASTOS DE VILLAVICENCIO - CEMERCA Local G1403</t>
  </si>
  <si>
    <t>17353</t>
  </si>
  <si>
    <t>18478</t>
  </si>
  <si>
    <t>CENTRAL MINORISTA DE ABASTOS DE VILLAVICENCIO - CEMERCA Local G1003</t>
  </si>
  <si>
    <t>18846</t>
  </si>
  <si>
    <t>KILÓMETRO 4  DE LA VÍA MAMONAL  CARRERA 56, #60D-240, #60D-170, BODEGA 21 BARRIO ARROZ BARATO SECTOR PUERTA DE HIERRO</t>
  </si>
  <si>
    <t>18421</t>
  </si>
  <si>
    <t>CENTRAL MINORISTA DE ABASTOS DE VILLAVICENCIO - CEMERCA Local G0402</t>
  </si>
  <si>
    <t>18273</t>
  </si>
  <si>
    <t>CENTRAL MINORISTA DE ABASTOS DE VILLAVICENCIO - CEMERCA Local A3601</t>
  </si>
  <si>
    <t>18450</t>
  </si>
  <si>
    <t>CENTRAL MINORISTA DE ABASTOS DE VILLAVICENCIO - CEMERCA Local G0710</t>
  </si>
  <si>
    <t>18413</t>
  </si>
  <si>
    <t>CENTRAL MINORISTA DE ABASTOS DE VILLAVICENCIO - CEMERCA Local G0301</t>
  </si>
  <si>
    <t>18468</t>
  </si>
  <si>
    <t>CENTRAL MINORISTA DE ABASTOS DE VILLAVICENCIO - CEMERCA Local G0901</t>
  </si>
  <si>
    <t>18475</t>
  </si>
  <si>
    <t>CENTRAL MINORISTA DE ABASTOS DE VILLAVICENCIO - CEMERCA Local G0922</t>
  </si>
  <si>
    <t>18845</t>
  </si>
  <si>
    <t>KILÓMETRO 4  DE LA VÍA MAMONAL  CARRERA 56, #60D-240, #60D-170, BODEGA 20 BARRIO ARROZ BARATO SECTOR PUERTA DE HIERRO</t>
  </si>
  <si>
    <t>18423</t>
  </si>
  <si>
    <t>CENTRAL MINORISTA DE ABASTOS DE VILLAVICENCIO - CEMERCA Local G0404</t>
  </si>
  <si>
    <t>18503</t>
  </si>
  <si>
    <t>CENTRAL MINORISTA DE ABASTOS DE VILLAVICENCIO - CEMERCA Local G1312</t>
  </si>
  <si>
    <t>18416</t>
  </si>
  <si>
    <t>CENTRAL MINORISTA DE ABASTOS DE VILLAVICENCIO - CEMERCA Local G0316</t>
  </si>
  <si>
    <t>18130</t>
  </si>
  <si>
    <t>CENTRAL MINORISTA DE ABASTOS DE VILLAVICENCIO - CEMERCA Local A1111</t>
  </si>
  <si>
    <t>18187</t>
  </si>
  <si>
    <t>CENTRAL MINORISTA DE ABASTOS DE VILLAVICENCIO - CEMERCA Local A2812</t>
  </si>
  <si>
    <t>18205</t>
  </si>
  <si>
    <t>CENTRAL MINORISTA DE ABASTOS DE VILLAVICENCIO - CEMERCA Local A2911</t>
  </si>
  <si>
    <t>18206</t>
  </si>
  <si>
    <t>CENTRAL MINORISTA DE ABASTOS DE VILLAVICENCIO - CEMERCA Local A2912</t>
  </si>
  <si>
    <t>18221</t>
  </si>
  <si>
    <t>CENTRAL MINORISTA DE ABASTOS DE VILLAVICENCIO - CEMERCA Local A3012</t>
  </si>
  <si>
    <t>18145</t>
  </si>
  <si>
    <t>CENTRAL MINORISTA DE ABASTOS DE VILLAVICENCIO - CEMERCA Local A2030</t>
  </si>
  <si>
    <t>18174</t>
  </si>
  <si>
    <t>CENTRAL MINORISTA DE ABASTOS DE VILLAVICENCIO - CEMERCA Local A2420</t>
  </si>
  <si>
    <t>18995</t>
  </si>
  <si>
    <t>18452</t>
  </si>
  <si>
    <t>CENTRAL MINORISTA DE ABASTOS DE VILLAVICENCIO - CEMERCA Local G0802</t>
  </si>
  <si>
    <t>18466</t>
  </si>
  <si>
    <t>CENTRAL MINORISTA DE ABASTOS DE VILLAVICENCIO - CEMERCA Local G0818</t>
  </si>
  <si>
    <t>18471</t>
  </si>
  <si>
    <t>CENTRAL MINORISTA DE ABASTOS DE VILLAVICENCIO - CEMERCA Local G0908</t>
  </si>
  <si>
    <t>18483</t>
  </si>
  <si>
    <t>CENTRAL MINORISTA DE ABASTOS DE VILLAVICENCIO - CEMERCA Local G1008</t>
  </si>
  <si>
    <t>18448</t>
  </si>
  <si>
    <t>CENTRAL MINORISTA DE ABASTOS DE VILLAVICENCIO - CEMERCA Local G0706</t>
  </si>
  <si>
    <t>18414</t>
  </si>
  <si>
    <t>CENTRAL MINORISTA DE ABASTOS DE VILLAVICENCIO - CEMERCA Local G0302</t>
  </si>
  <si>
    <t>18417</t>
  </si>
  <si>
    <t>CENTRAL MINORISTA DE ABASTOS DE VILLAVICENCIO - CEMERCA Local G0326</t>
  </si>
  <si>
    <t>18418</t>
  </si>
  <si>
    <t>CENTRAL MINORISTA DE ABASTOS DE VILLAVICENCIO - CEMERCA Local G0327</t>
  </si>
  <si>
    <t>18425</t>
  </si>
  <si>
    <t>CENTRAL MINORISTA DE ABASTOS DE VILLAVICENCIO - CEMERCA Local G0504</t>
  </si>
  <si>
    <t>18426</t>
  </si>
  <si>
    <t>CENTRAL MINORISTA DE ABASTOS DE VILLAVICENCIO - CEMERCA Local G0506</t>
  </si>
  <si>
    <t>18427</t>
  </si>
  <si>
    <t>CENTRAL MINORISTA DE ABASTOS DE VILLAVICENCIO - CEMERCA Local G0507</t>
  </si>
  <si>
    <t>18428</t>
  </si>
  <si>
    <t>CENTRAL MINORISTA DE ABASTOS DE VILLAVICENCIO - CEMERCA Local G0508</t>
  </si>
  <si>
    <t>18429</t>
  </si>
  <si>
    <t>CENTRAL MINORISTA DE ABASTOS DE VILLAVICENCIO - CEMERCA Local G0509</t>
  </si>
  <si>
    <t>18430</t>
  </si>
  <si>
    <t>CENTRAL MINORISTA DE ABASTOS DE VILLAVICENCIO - CEMERCA Local G0510</t>
  </si>
  <si>
    <t>18431</t>
  </si>
  <si>
    <t>CENTRAL MINORISTA DE ABASTOS DE VILLAVICENCIO - CEMERCA Local G0511</t>
  </si>
  <si>
    <t>18434</t>
  </si>
  <si>
    <t>CENTRAL MINORISTA DE ABASTOS DE VILLAVICENCIO - CEMERCA Local G0515</t>
  </si>
  <si>
    <t>18435</t>
  </si>
  <si>
    <t>CENTRAL MINORISTA DE ABASTOS DE VILLAVICENCIO - CEMERCA Local G0516</t>
  </si>
  <si>
    <t>18436</t>
  </si>
  <si>
    <t>CENTRAL MINORISTA DE ABASTOS DE VILLAVICENCIO - CEMERCA Local G0517</t>
  </si>
  <si>
    <t>18437</t>
  </si>
  <si>
    <t>CENTRAL MINORISTA DE ABASTOS DE VILLAVICENCIO - CEMERCA Local G0518</t>
  </si>
  <si>
    <t>18438</t>
  </si>
  <si>
    <t>CENTRAL MINORISTA DE ABASTOS DE VILLAVICENCIO - CEMERCA Local G0521</t>
  </si>
  <si>
    <t>18500</t>
  </si>
  <si>
    <t>CENTRAL MINORISTA DE ABASTOS DE VILLAVICENCIO - CEMERCA Local G1302</t>
  </si>
  <si>
    <t>18501</t>
  </si>
  <si>
    <t>CENTRAL MINORISTA DE ABASTOS DE VILLAVICENCIO - CEMERCA Local G1303</t>
  </si>
  <si>
    <t>18504</t>
  </si>
  <si>
    <t>CENTRAL MINORISTA DE ABASTOS DE VILLAVICENCIO - CEMERCA Local G1313</t>
  </si>
  <si>
    <t>18505</t>
  </si>
  <si>
    <t>CENTRAL MINORISTA DE ABASTOS DE VILLAVICENCIO - CEMERCA Local G1319</t>
  </si>
  <si>
    <t>18506</t>
  </si>
  <si>
    <t>CENTRAL MINORISTA DE ABASTOS DE VILLAVICENCIO - CEMERCA Local G1320</t>
  </si>
  <si>
    <t>18920</t>
  </si>
  <si>
    <t>LAS DELICIAS</t>
  </si>
  <si>
    <t>18442</t>
  </si>
  <si>
    <t>CENTRAL MINORISTA DE ABASTOS DE VILLAVICENCIO - CEMERCA Local G0607</t>
  </si>
  <si>
    <t>18454</t>
  </si>
  <si>
    <t>CENTRAL MINORISTA DE ABASTOS DE VILLAVICENCIO - CEMERCA Local G0804</t>
  </si>
  <si>
    <t>18455</t>
  </si>
  <si>
    <t>CENTRAL MINORISTA DE ABASTOS DE VILLAVICENCIO - CEMERCA Local G0805</t>
  </si>
  <si>
    <t>18456</t>
  </si>
  <si>
    <t>CENTRAL MINORISTA DE ABASTOS DE VILLAVICENCIO - CEMERCA Local G0806</t>
  </si>
  <si>
    <t>18459</t>
  </si>
  <si>
    <t>CENTRAL MINORISTA DE ABASTOS DE VILLAVICENCIO - CEMERCA Local G0811</t>
  </si>
  <si>
    <t>18460</t>
  </si>
  <si>
    <t>CENTRAL MINORISTA DE ABASTOS DE VILLAVICENCIO - CEMERCA Local G0812</t>
  </si>
  <si>
    <t>18462</t>
  </si>
  <si>
    <t>CENTRAL MINORISTA DE ABASTOS DE VILLAVICENCIO - CEMERCA Local G0814</t>
  </si>
  <si>
    <t>18463</t>
  </si>
  <si>
    <t>CENTRAL MINORISTA DE ABASTOS DE VILLAVICENCIO - CEMERCA Local G0815</t>
  </si>
  <si>
    <t>18464</t>
  </si>
  <si>
    <t>CENTRAL MINORISTA DE ABASTOS DE VILLAVICENCIO - CEMERCA Local G0816</t>
  </si>
  <si>
    <t>18469</t>
  </si>
  <si>
    <t>CENTRAL MINORISTA DE ABASTOS DE VILLAVICENCIO - CEMERCA Local G0906</t>
  </si>
  <si>
    <t>18470</t>
  </si>
  <si>
    <t>CENTRAL MINORISTA DE ABASTOS DE VILLAVICENCIO - CEMERCA Local G0907</t>
  </si>
  <si>
    <t>18479</t>
  </si>
  <si>
    <t>CENTRAL MINORISTA DE ABASTOS DE VILLAVICENCIO - CEMERCA Local G1004</t>
  </si>
  <si>
    <t>18480</t>
  </si>
  <si>
    <t>CENTRAL MINORISTA DE ABASTOS DE VILLAVICENCIO - CEMERCA Local G1005</t>
  </si>
  <si>
    <t>18481</t>
  </si>
  <si>
    <t>CENTRAL MINORISTA DE ABASTOS DE VILLAVICENCIO - CEMERCA Local G1006</t>
  </si>
  <si>
    <t>18486</t>
  </si>
  <si>
    <t>CENTRAL MINORISTA DE ABASTOS DE VILLAVICENCIO - CEMERCA Local G1011</t>
  </si>
  <si>
    <t>18487</t>
  </si>
  <si>
    <t>CENTRAL MINORISTA DE ABASTOS DE VILLAVICENCIO - CEMERCA Local G1012</t>
  </si>
  <si>
    <t>18488</t>
  </si>
  <si>
    <t>CENTRAL MINORISTA DE ABASTOS DE VILLAVICENCIO - CEMERCA Local G1013</t>
  </si>
  <si>
    <t>18489</t>
  </si>
  <si>
    <t>CENTRAL MINORISTA DE ABASTOS DE VILLAVICENCIO - CEMERCA Local G1014</t>
  </si>
  <si>
    <t>18461</t>
  </si>
  <si>
    <t>CENTRAL MINORISTA DE ABASTOS DE VILLAVICENCIO - CEMERCA Local G0813</t>
  </si>
  <si>
    <t>18482</t>
  </si>
  <si>
    <t>CENTRAL MINORISTA DE ABASTOS DE VILLAVICENCIO - CEMERCA Local G1007</t>
  </si>
  <si>
    <t>18485</t>
  </si>
  <si>
    <t>CENTRAL MINORISTA DE ABASTOS DE VILLAVICENCIO - CEMERCA Local G1010</t>
  </si>
  <si>
    <t>18871</t>
  </si>
  <si>
    <t>VILLA DEL SUR</t>
  </si>
  <si>
    <t>CL 9 AS # 10-49 LT 14 MZ G  BARRIO VILLA DEL SUR ANTES BARRIO ANTONIO NARIÑO</t>
  </si>
  <si>
    <t>LOTE DE TERRENO CON CONSTRUCCION
EL VALOR DE VENTA SOLO CORRESPONDE AL LOTE
NMUEBLE OCUPADO</t>
  </si>
  <si>
    <t>18458</t>
  </si>
  <si>
    <t>CENTRAL MINORISTA DE ABASTOS DE VILLAVICENCIO - CEMERCA Local G0810</t>
  </si>
  <si>
    <t>18215</t>
  </si>
  <si>
    <t>CENTRAL MINORISTA DE ABASTOS DE VILLAVICENCIO - CEMERCA Local A2922</t>
  </si>
  <si>
    <t>17352</t>
  </si>
  <si>
    <t>18484</t>
  </si>
  <si>
    <t>CENTRAL MINORISTA DE ABASTOS DE VILLAVICENCIO - CEMERCA Local G1009</t>
  </si>
  <si>
    <t>18397</t>
  </si>
  <si>
    <t>CENTRAL MINORISTA DE ABASTOS DE VILLAVICENCIO - CEMERCA Local F0807</t>
  </si>
  <si>
    <t>18502</t>
  </si>
  <si>
    <t>CENTRAL MINORISTA DE ABASTOS DE VILLAVICENCIO - CEMERCA Local G1311</t>
  </si>
  <si>
    <t>18419</t>
  </si>
  <si>
    <t>CENTRAL MINORISTA DE ABASTOS DE VILLAVICENCIO - CEMERCA Local G0328</t>
  </si>
  <si>
    <t>18382</t>
  </si>
  <si>
    <t>CENTRAL MINORISTA DE ABASTOS DE VILLAVICENCIO - CEMERCA Local F0613</t>
  </si>
  <si>
    <t>18390</t>
  </si>
  <si>
    <t>CENTRAL MINORISTA DE ABASTOS DE VILLAVICENCIO - CEMERCA Local F0706</t>
  </si>
  <si>
    <t>18243</t>
  </si>
  <si>
    <t>CENTRAL MINORISTA DE ABASTOS DE VILLAVICENCIO - CEMERCA Local A3224</t>
  </si>
  <si>
    <t>18379</t>
  </si>
  <si>
    <t>CENTRAL MINORISTA DE ABASTOS DE VILLAVICENCIO - CEMERCA Local F0605</t>
  </si>
  <si>
    <t>18383</t>
  </si>
  <si>
    <t>CENTRAL MINORISTA DE ABASTOS DE VILLAVICENCIO - CEMERCA Local F0614</t>
  </si>
  <si>
    <t>18384</t>
  </si>
  <si>
    <t>CENTRAL MINORISTA DE ABASTOS DE VILLAVICENCIO - CEMERCA Local F0615</t>
  </si>
  <si>
    <t>18388</t>
  </si>
  <si>
    <t>CENTRAL MINORISTA DE ABASTOS DE VILLAVICENCIO - CEMERCA Local F0704</t>
  </si>
  <si>
    <t>18389</t>
  </si>
  <si>
    <t>CENTRAL MINORISTA DE ABASTOS DE VILLAVICENCIO - CEMERCA Local F0705</t>
  </si>
  <si>
    <t>18392</t>
  </si>
  <si>
    <t>CENTRAL MINORISTA DE ABASTOS DE VILLAVICENCIO - CEMERCA Local F0714</t>
  </si>
  <si>
    <t>18393</t>
  </si>
  <si>
    <t>CENTRAL MINORISTA DE ABASTOS DE VILLAVICENCIO - CEMERCA Local F0716</t>
  </si>
  <si>
    <t>18395</t>
  </si>
  <si>
    <t>CENTRAL MINORISTA DE ABASTOS DE VILLAVICENCIO - CEMERCA Local F0805</t>
  </si>
  <si>
    <t>18260</t>
  </si>
  <si>
    <t>CENTRAL MINORISTA DE ABASTOS DE VILLAVICENCIO - CEMERCA Local A3407</t>
  </si>
  <si>
    <t>18268</t>
  </si>
  <si>
    <t>CENTRAL MINORISTA DE ABASTOS DE VILLAVICENCIO - CEMERCA Local A3507</t>
  </si>
  <si>
    <t>18420</t>
  </si>
  <si>
    <t>CENTRAL MINORISTA DE ABASTOS DE VILLAVICENCIO - CEMERCA Local G0401</t>
  </si>
  <si>
    <t>18424</t>
  </si>
  <si>
    <t>CENTRAL MINORISTA DE ABASTOS DE VILLAVICENCIO - CEMERCA Local G0405</t>
  </si>
  <si>
    <t>18263</t>
  </si>
  <si>
    <t>CENTRAL MINORISTA DE ABASTOS DE VILLAVICENCIO - CEMERCA Local A3414</t>
  </si>
  <si>
    <t>18493</t>
  </si>
  <si>
    <t>CENTRAL MINORISTA DE ABASTOS DE VILLAVICENCIO - CEMERCA Local G1102</t>
  </si>
  <si>
    <t>18494</t>
  </si>
  <si>
    <t>CENTRAL MINORISTA DE ABASTOS DE VILLAVICENCIO - CEMERCA Local G1103</t>
  </si>
  <si>
    <t>18495</t>
  </si>
  <si>
    <t>CENTRAL MINORISTA DE ABASTOS DE VILLAVICENCIO - CEMERCA Local G1106</t>
  </si>
  <si>
    <t>18247</t>
  </si>
  <si>
    <t>CENTRAL MINORISTA DE ABASTOS DE VILLAVICENCIO - CEMERCA Local A3231</t>
  </si>
  <si>
    <t>18449</t>
  </si>
  <si>
    <t>CENTRAL MINORISTA DE ABASTOS DE VILLAVICENCIO - CEMERCA Local G0708</t>
  </si>
  <si>
    <t>18347</t>
  </si>
  <si>
    <t>CENTRAL MINORISTA DE ABASTOS DE VILLAVICENCIO - CEMERCA Local E0503</t>
  </si>
  <si>
    <t>18079</t>
  </si>
  <si>
    <t>CENTRAL MINORISTA DE ABASTOS DE VILLAVICENCIO - CEMERCA Local A0205</t>
  </si>
  <si>
    <t>18080</t>
  </si>
  <si>
    <t>CENTRAL MINORISTA DE ABASTOS DE VILLAVICENCIO - CEMERCA Local A0206</t>
  </si>
  <si>
    <t>18083</t>
  </si>
  <si>
    <t>CENTRAL MINORISTA DE ABASTOS DE VILLAVICENCIO - CEMERCA Local A0213</t>
  </si>
  <si>
    <t>18084</t>
  </si>
  <si>
    <t>CENTRAL MINORISTA DE ABASTOS DE VILLAVICENCIO - CEMERCA Local A0214</t>
  </si>
  <si>
    <t>18089</t>
  </si>
  <si>
    <t>CENTRAL MINORISTA DE ABASTOS DE VILLAVICENCIO - CEMERCA Local A0302</t>
  </si>
  <si>
    <t>18090</t>
  </si>
  <si>
    <t>CENTRAL MINORISTA DE ABASTOS DE VILLAVICENCIO - CEMERCA Local A0303</t>
  </si>
  <si>
    <t>18091</t>
  </si>
  <si>
    <t>CENTRAL MINORISTA DE ABASTOS DE VILLAVICENCIO - CEMERCA Local A0304</t>
  </si>
  <si>
    <t>18092</t>
  </si>
  <si>
    <t>CENTRAL MINORISTA DE ABASTOS DE VILLAVICENCIO - CEMERCA Local A0305</t>
  </si>
  <si>
    <t>18113</t>
  </si>
  <si>
    <t>CENTRAL MINORISTA DE ABASTOS DE VILLAVICENCIO - CEMERCA Local A0806</t>
  </si>
  <si>
    <t>18115</t>
  </si>
  <si>
    <t>CENTRAL MINORISTA DE ABASTOS DE VILLAVICENCIO - CEMERCA Local A0820</t>
  </si>
  <si>
    <t>18123</t>
  </si>
  <si>
    <t>CENTRAL MINORISTA DE ABASTOS DE VILLAVICENCIO - CEMERCA Local A1011</t>
  </si>
  <si>
    <t>18124</t>
  </si>
  <si>
    <t>CENTRAL MINORISTA DE ABASTOS DE VILLAVICENCIO - CEMERCA Local A1013</t>
  </si>
  <si>
    <t>18125</t>
  </si>
  <si>
    <t>CENTRAL MINORISTA DE ABASTOS DE VILLAVICENCIO - CEMERCA Local A1014</t>
  </si>
  <si>
    <t>18131</t>
  </si>
  <si>
    <t>CENTRAL MINORISTA DE ABASTOS DE VILLAVICENCIO - CEMERCA Local A1210</t>
  </si>
  <si>
    <t>18132</t>
  </si>
  <si>
    <t>CENTRAL MINORISTA DE ABASTOS DE VILLAVICENCIO - CEMERCA Local A1308</t>
  </si>
  <si>
    <t>18134</t>
  </si>
  <si>
    <t>CENTRAL MINORISTA DE ABASTOS DE VILLAVICENCIO - CEMERCA Local A1803</t>
  </si>
  <si>
    <t>18138</t>
  </si>
  <si>
    <t>CENTRAL MINORISTA DE ABASTOS DE VILLAVICENCIO - CEMERCA Local A1912</t>
  </si>
  <si>
    <t>18139</t>
  </si>
  <si>
    <t>CENTRAL MINORISTA DE ABASTOS DE VILLAVICENCIO - CEMERCA Local A1913</t>
  </si>
  <si>
    <t>18140</t>
  </si>
  <si>
    <t>CENTRAL MINORISTA DE ABASTOS DE VILLAVICENCIO - CEMERCA Local A1914</t>
  </si>
  <si>
    <t>18141</t>
  </si>
  <si>
    <t>CENTRAL MINORISTA DE ABASTOS DE VILLAVICENCIO - CEMERCA Local A1915</t>
  </si>
  <si>
    <t>18142</t>
  </si>
  <si>
    <t>CENTRAL MINORISTA DE ABASTOS DE VILLAVICENCIO - CEMERCA Local A1917</t>
  </si>
  <si>
    <t>18147</t>
  </si>
  <si>
    <t>CENTRAL MINORISTA DE ABASTOS DE VILLAVICENCIO - CEMERCA Local A2103</t>
  </si>
  <si>
    <t>18151</t>
  </si>
  <si>
    <t>CENTRAL MINORISTA DE ABASTOS DE VILLAVICENCIO - CEMERCA Local A2210</t>
  </si>
  <si>
    <t>18157</t>
  </si>
  <si>
    <t>CENTRAL MINORISTA DE ABASTOS DE VILLAVICENCIO - CEMERCA Local A2313</t>
  </si>
  <si>
    <t>18158</t>
  </si>
  <si>
    <t>CENTRAL MINORISTA DE ABASTOS DE VILLAVICENCIO - CEMERCA Local A2314</t>
  </si>
  <si>
    <t>18159</t>
  </si>
  <si>
    <t>CENTRAL MINORISTA DE ABASTOS DE VILLAVICENCIO - CEMERCA Local A2316</t>
  </si>
  <si>
    <t>18160</t>
  </si>
  <si>
    <t>CENTRAL MINORISTA DE ABASTOS DE VILLAVICENCIO - CEMERCA Local A2317</t>
  </si>
  <si>
    <t>18161</t>
  </si>
  <si>
    <t>CENTRAL MINORISTA DE ABASTOS DE VILLAVICENCIO - CEMERCA Local A2318</t>
  </si>
  <si>
    <t>18164</t>
  </si>
  <si>
    <t>CENTRAL MINORISTA DE ABASTOS DE VILLAVICENCIO - CEMERCA Local A2404</t>
  </si>
  <si>
    <t>18169</t>
  </si>
  <si>
    <t>CENTRAL MINORISTA DE ABASTOS DE VILLAVICENCIO - CEMERCA Local A2409</t>
  </si>
  <si>
    <t>18170</t>
  </si>
  <si>
    <t>CENTRAL MINORISTA DE ABASTOS DE VILLAVICENCIO - CEMERCA Local A2410</t>
  </si>
  <si>
    <t>18179</t>
  </si>
  <si>
    <t>CENTRAL MINORISTA DE ABASTOS DE VILLAVICENCIO - CEMERCA Local A2706</t>
  </si>
  <si>
    <t>18180</t>
  </si>
  <si>
    <t>CENTRAL MINORISTA DE ABASTOS DE VILLAVICENCIO - CEMERCA Local A2711</t>
  </si>
  <si>
    <t>18182</t>
  </si>
  <si>
    <t>CENTRAL MINORISTA DE ABASTOS DE VILLAVICENCIO - CEMERCA Local A2803</t>
  </si>
  <si>
    <t>18183</t>
  </si>
  <si>
    <t>CENTRAL MINORISTA DE ABASTOS DE VILLAVICENCIO - CEMERCA Local A2804</t>
  </si>
  <si>
    <t>18184</t>
  </si>
  <si>
    <t>CENTRAL MINORISTA DE ABASTOS DE VILLAVICENCIO - CEMERCA Local A2806</t>
  </si>
  <si>
    <t>18185</t>
  </si>
  <si>
    <t>CENTRAL MINORISTA DE ABASTOS DE VILLAVICENCIO - CEMERCA Local A2807</t>
  </si>
  <si>
    <t>18186</t>
  </si>
  <si>
    <t>CENTRAL MINORISTA DE ABASTOS DE VILLAVICENCIO - CEMERCA Local A2809</t>
  </si>
  <si>
    <t>18188</t>
  </si>
  <si>
    <t>CENTRAL MINORISTA DE ABASTOS DE VILLAVICENCIO - CEMERCA Local A2814</t>
  </si>
  <si>
    <t>18189</t>
  </si>
  <si>
    <t>CENTRAL MINORISTA DE ABASTOS DE VILLAVICENCIO - CEMERCA Local A2815</t>
  </si>
  <si>
    <t>18190</t>
  </si>
  <si>
    <t>CENTRAL MINORISTA DE ABASTOS DE VILLAVICENCIO - CEMERCA Local A2816</t>
  </si>
  <si>
    <t>18191</t>
  </si>
  <si>
    <t>CENTRAL MINORISTA DE ABASTOS DE VILLAVICENCIO - CEMERCA Local A2817</t>
  </si>
  <si>
    <t>18192</t>
  </si>
  <si>
    <t>CENTRAL MINORISTA DE ABASTOS DE VILLAVICENCIO - CEMERCA Local A2818</t>
  </si>
  <si>
    <t>18193</t>
  </si>
  <si>
    <t>CENTRAL MINORISTA DE ABASTOS DE VILLAVICENCIO - CEMERCA Local A2819</t>
  </si>
  <si>
    <t>18194</t>
  </si>
  <si>
    <t>CENTRAL MINORISTA DE ABASTOS DE VILLAVICENCIO - CEMERCA Local A2820</t>
  </si>
  <si>
    <t>18195</t>
  </si>
  <si>
    <t>CENTRAL MINORISTA DE ABASTOS DE VILLAVICENCIO - CEMERCA Local A2821</t>
  </si>
  <si>
    <t>18197</t>
  </si>
  <si>
    <t>CENTRAL MINORISTA DE ABASTOS DE VILLAVICENCIO - CEMERCA Local A2902</t>
  </si>
  <si>
    <t>18198</t>
  </si>
  <si>
    <t>CENTRAL MINORISTA DE ABASTOS DE VILLAVICENCIO - CEMERCA Local A2904</t>
  </si>
  <si>
    <t>18199</t>
  </si>
  <si>
    <t>CENTRAL MINORISTA DE ABASTOS DE VILLAVICENCIO - CEMERCA Local A2905</t>
  </si>
  <si>
    <t>18200</t>
  </si>
  <si>
    <t>CENTRAL MINORISTA DE ABASTOS DE VILLAVICENCIO - CEMERCA Local A2906</t>
  </si>
  <si>
    <t>18201</t>
  </si>
  <si>
    <t>CENTRAL MINORISTA DE ABASTOS DE VILLAVICENCIO - CEMERCA Local A2907</t>
  </si>
  <si>
    <t>18202</t>
  </si>
  <si>
    <t>CENTRAL MINORISTA DE ABASTOS DE VILLAVICENCIO - CEMERCA Local A2908</t>
  </si>
  <si>
    <t>18203</t>
  </si>
  <si>
    <t>CENTRAL MINORISTA DE ABASTOS DE VILLAVICENCIO - CEMERCA Local A2909</t>
  </si>
  <si>
    <t>18204</t>
  </si>
  <si>
    <t>CENTRAL MINORISTA DE ABASTOS DE VILLAVICENCIO - CEMERCA Local A2910</t>
  </si>
  <si>
    <t>18207</t>
  </si>
  <si>
    <t>CENTRAL MINORISTA DE ABASTOS DE VILLAVICENCIO - CEMERCA Local A2913</t>
  </si>
  <si>
    <t>18208</t>
  </si>
  <si>
    <t>CENTRAL MINORISTA DE ABASTOS DE VILLAVICENCIO - CEMERCA Local A2914</t>
  </si>
  <si>
    <t>18209</t>
  </si>
  <si>
    <t>CENTRAL MINORISTA DE ABASTOS DE VILLAVICENCIO - CEMERCA Local A2915</t>
  </si>
  <si>
    <t>18210</t>
  </si>
  <si>
    <t>CENTRAL MINORISTA DE ABASTOS DE VILLAVICENCIO - CEMERCA Local A2916</t>
  </si>
  <si>
    <t>18211</t>
  </si>
  <si>
    <t>CENTRAL MINORISTA DE ABASTOS DE VILLAVICENCIO - CEMERCA Local A2917</t>
  </si>
  <si>
    <t>18212</t>
  </si>
  <si>
    <t>CENTRAL MINORISTA DE ABASTOS DE VILLAVICENCIO - CEMERCA Local A2918</t>
  </si>
  <si>
    <t>18213</t>
  </si>
  <si>
    <t>CENTRAL MINORISTA DE ABASTOS DE VILLAVICENCIO - CEMERCA Local A2920</t>
  </si>
  <si>
    <t>18214</t>
  </si>
  <si>
    <t>CENTRAL MINORISTA DE ABASTOS DE VILLAVICENCIO - CEMERCA Local A2921</t>
  </si>
  <si>
    <t>18219</t>
  </si>
  <si>
    <t>CENTRAL MINORISTA DE ABASTOS DE VILLAVICENCIO - CEMERCA Local A3005</t>
  </si>
  <si>
    <t>18220</t>
  </si>
  <si>
    <t>CENTRAL MINORISTA DE ABASTOS DE VILLAVICENCIO - CEMERCA Local A3006</t>
  </si>
  <si>
    <t>18222</t>
  </si>
  <si>
    <t>CENTRAL MINORISTA DE ABASTOS DE VILLAVICENCIO - CEMERCA Local A3013</t>
  </si>
  <si>
    <t>18223</t>
  </si>
  <si>
    <t>CENTRAL MINORISTA DE ABASTOS DE VILLAVICENCIO - CEMERCA Local A3015</t>
  </si>
  <si>
    <t>18224</t>
  </si>
  <si>
    <t>CENTRAL MINORISTA DE ABASTOS DE VILLAVICENCIO - CEMERCA Local A3016</t>
  </si>
  <si>
    <t>18250</t>
  </si>
  <si>
    <t>CENTRAL MINORISTA DE ABASTOS DE VILLAVICENCIO - CEMERCA Local A3304</t>
  </si>
  <si>
    <t>18251</t>
  </si>
  <si>
    <t>CENTRAL MINORISTA DE ABASTOS DE VILLAVICENCIO - CEMERCA Local A3305</t>
  </si>
  <si>
    <t>18252</t>
  </si>
  <si>
    <t>CENTRAL MINORISTA DE ABASTOS DE VILLAVICENCIO - CEMERCA Local A3309</t>
  </si>
  <si>
    <t>18253</t>
  </si>
  <si>
    <t>CENTRAL MINORISTA DE ABASTOS DE VILLAVICENCIO - CEMERCA Local A3310</t>
  </si>
  <si>
    <t>18254</t>
  </si>
  <si>
    <t>CENTRAL MINORISTA DE ABASTOS DE VILLAVICENCIO - CEMERCA Local A3311</t>
  </si>
  <si>
    <t>18256</t>
  </si>
  <si>
    <t>CENTRAL MINORISTA DE ABASTOS DE VILLAVICENCIO - CEMERCA Local A3403</t>
  </si>
  <si>
    <t>18257</t>
  </si>
  <si>
    <t>CENTRAL MINORISTA DE ABASTOS DE VILLAVICENCIO - CEMERCA Local A3404</t>
  </si>
  <si>
    <t>18258</t>
  </si>
  <si>
    <t>CENTRAL MINORISTA DE ABASTOS DE VILLAVICENCIO - CEMERCA Local A3405</t>
  </si>
  <si>
    <t>18259</t>
  </si>
  <si>
    <t>CENTRAL MINORISTA DE ABASTOS DE VILLAVICENCIO - CEMERCA Local A3406</t>
  </si>
  <si>
    <t>18261</t>
  </si>
  <si>
    <t>CENTRAL MINORISTA DE ABASTOS DE VILLAVICENCIO - CEMERCA Local A3410</t>
  </si>
  <si>
    <t>18262</t>
  </si>
  <si>
    <t>CENTRAL MINORISTA DE ABASTOS DE VILLAVICENCIO - CEMERCA Local A3411</t>
  </si>
  <si>
    <t>18264</t>
  </si>
  <si>
    <t>CENTRAL MINORISTA DE ABASTOS DE VILLAVICENCIO - CEMERCA Local A3503</t>
  </si>
  <si>
    <t>18265</t>
  </si>
  <si>
    <t>CENTRAL MINORISTA DE ABASTOS DE VILLAVICENCIO - CEMERCA Local A3504</t>
  </si>
  <si>
    <t>18266</t>
  </si>
  <si>
    <t>CENTRAL MINORISTA DE ABASTOS DE VILLAVICENCIO - CEMERCA Local A3505</t>
  </si>
  <si>
    <t>18267</t>
  </si>
  <si>
    <t>CENTRAL MINORISTA DE ABASTOS DE VILLAVICENCIO - CEMERCA Local A3506</t>
  </si>
  <si>
    <t>18269</t>
  </si>
  <si>
    <t>CENTRAL MINORISTA DE ABASTOS DE VILLAVICENCIO - CEMERCA Local A3509</t>
  </si>
  <si>
    <t>18270</t>
  </si>
  <si>
    <t>CENTRAL MINORISTA DE ABASTOS DE VILLAVICENCIO - CEMERCA Local A3511</t>
  </si>
  <si>
    <t>18271</t>
  </si>
  <si>
    <t>CENTRAL MINORISTA DE ABASTOS DE VILLAVICENCIO - CEMERCA Local A3512</t>
  </si>
  <si>
    <t>18272</t>
  </si>
  <si>
    <t>CENTRAL MINORISTA DE ABASTOS DE VILLAVICENCIO - CEMERCA Local A3513</t>
  </si>
  <si>
    <t>18274</t>
  </si>
  <si>
    <t>CENTRAL MINORISTA DE ABASTOS DE VILLAVICENCIO - CEMERCA Local A3602</t>
  </si>
  <si>
    <t>18275</t>
  </si>
  <si>
    <t>CENTRAL MINORISTA DE ABASTOS DE VILLAVICENCIO - CEMERCA Local A3603</t>
  </si>
  <si>
    <t>18276</t>
  </si>
  <si>
    <t>CENTRAL MINORISTA DE ABASTOS DE VILLAVICENCIO - CEMERCA Local A3604</t>
  </si>
  <si>
    <t>18277</t>
  </si>
  <si>
    <t>CENTRAL MINORISTA DE ABASTOS DE VILLAVICENCIO - CEMERCA Local A3607</t>
  </si>
  <si>
    <t>18552</t>
  </si>
  <si>
    <t>PACORA</t>
  </si>
  <si>
    <t>URBANIZACION FERNANDO GAVIRIA LOTE 16 MZ 6</t>
  </si>
  <si>
    <t>SE TRATA DE DIECISÉIS LOTES DE TERRENO SIN CONSTRUCCIÓN ALGUNA (LOTES DE TERRENO), LOCALIZADOS EN LA MANZANA 6 DE LA URBANIZACIÓN FERNANDO GAVIRIA, LOTE CERCA AL PARQUE PRINCIPAL, HOSPITAL SANTA TERESA, CUARTEL DE LA POLICIA, ENTRE OTROS</t>
  </si>
  <si>
    <t>18555</t>
  </si>
  <si>
    <t>URBANIZACION FERNANDO GAVIRIA LOTE 13 MZ 6</t>
  </si>
  <si>
    <t>18563</t>
  </si>
  <si>
    <t>URBANIZACION FERNANDO GAVIRIA LOTE 5 MZ 6</t>
  </si>
  <si>
    <t>18087</t>
  </si>
  <si>
    <t>CENTRAL MINORISTA DE ABASTOS DE VILLAVICENCIO - CEMERCA Local A0218</t>
  </si>
  <si>
    <t>18340</t>
  </si>
  <si>
    <t>CENTRAL MINORISTA DE ABASTOS DE VILLAVICENCIO - CEMERCA Local E0111</t>
  </si>
  <si>
    <t>18341</t>
  </si>
  <si>
    <t>CENTRAL MINORISTA DE ABASTOS DE VILLAVICENCIO - CEMERCA Local E0203</t>
  </si>
  <si>
    <t>18342</t>
  </si>
  <si>
    <t>CENTRAL MINORISTA DE ABASTOS DE VILLAVICENCIO - CEMERCA Local E0204</t>
  </si>
  <si>
    <t>18352</t>
  </si>
  <si>
    <t>CENTRAL MINORISTA DE ABASTOS DE VILLAVICENCIO - CEMERCA Local E0614</t>
  </si>
  <si>
    <t>18353</t>
  </si>
  <si>
    <t>CENTRAL MINORISTA DE ABASTOS DE VILLAVICENCIO - CEMERCA Local E0617</t>
  </si>
  <si>
    <t>18553</t>
  </si>
  <si>
    <t>URBANIZACION FERNANDO GAVIRIA LOTE 15 MZ 6</t>
  </si>
  <si>
    <t>18554</t>
  </si>
  <si>
    <t>URBANIZACION FERNANDO GAVIRIA LOTE 14 MZ 6</t>
  </si>
  <si>
    <t>18560</t>
  </si>
  <si>
    <t>URBANIZACION FERNANDO GAVIRIA LOTE 8 MZ 6</t>
  </si>
  <si>
    <t>18564</t>
  </si>
  <si>
    <t>URBANIZACION FERNANDO GAVIRIA LOTE 4 MZ 6</t>
  </si>
  <si>
    <t>18565</t>
  </si>
  <si>
    <t>URBANIZACION FERNANDO GAVIRIA LOTE 3 MZ 6</t>
  </si>
  <si>
    <t>18566</t>
  </si>
  <si>
    <t>URBANIZACION FERNANDO GAVIRIA LOTE 2 MZ 6</t>
  </si>
  <si>
    <t>18567</t>
  </si>
  <si>
    <t>URBANIZACION FERNANDO GAVIRIA LOTE 1 MZ 6</t>
  </si>
  <si>
    <t>18849</t>
  </si>
  <si>
    <t>KILÓMETRO 4  DE LA VÍA MAMONAL  CARRERA 56, #60D-240, #60D-170, BODEGA 23A BARRIO ARROZ BARATO SECTOR PUERTA DE HIERRO</t>
  </si>
  <si>
    <t>18844</t>
  </si>
  <si>
    <t>KILÓMETRO 4  DE LA VÍA MAMONAL  CARRERA 56, #60D-240, #60D-170, BODEGA 7 BARRIO ARROZ BARATO SECTOR PUERTA DE HIERRO</t>
  </si>
  <si>
    <t>18116</t>
  </si>
  <si>
    <t>CENTRAL MINORISTA DE ABASTOS DE VILLAVICENCIO - CEMERCA Local A0901</t>
  </si>
  <si>
    <t>18556</t>
  </si>
  <si>
    <t>URBANIZACION FERNANDO GAVIRIA LOTE 12 MZ 6</t>
  </si>
  <si>
    <t>18557</t>
  </si>
  <si>
    <t>URBANIZACION FERNANDO GAVIRIA LOTE 11 MZ 6</t>
  </si>
  <si>
    <t>18558</t>
  </si>
  <si>
    <t>URBANIZACION FERNANDO GAVIRIA LOTE 10 MZ 6</t>
  </si>
  <si>
    <t>18559</t>
  </si>
  <si>
    <t>URBANIZACION FERNANDO GAVIRIA LOTE 9 MZ 6</t>
  </si>
  <si>
    <t>18561</t>
  </si>
  <si>
    <t>URBANIZACION FERNANDO GAVIRIA LOTE 7 MZ 6</t>
  </si>
  <si>
    <t>18562</t>
  </si>
  <si>
    <t>URBANIZACION FERNANDO GAVIRIA LOTE 6 MZ 6</t>
  </si>
  <si>
    <t>18841</t>
  </si>
  <si>
    <t>KILÓMETRO 4  DE LA VÍA MAMONAL  CARRERA 56, #60D-240, #60D-170, BODEGA 5 BARRIO ARROZ BARATO SECTOR PUERTA DE HIERRO</t>
  </si>
  <si>
    <t>18319</t>
  </si>
  <si>
    <t>CENTRAL MINORISTA DE ABASTOS DE VILLAVICENCIO - CEMERCA Local B0301</t>
  </si>
  <si>
    <t>18336</t>
  </si>
  <si>
    <t>CENTRAL MINORISTA DE ABASTOS DE VILLAVICENCIO - CEMERCA Local B0334</t>
  </si>
  <si>
    <t>18843</t>
  </si>
  <si>
    <t>KILÓMETRO 4  DE LA VÍA MAMONAL  CARRERA 56, #60D-240, #60D-170, BODEGA 6 BARRIO ARROZ BARATO SECTOR PUERTA DE HIERRO</t>
  </si>
  <si>
    <t>18446</t>
  </si>
  <si>
    <t>CENTRAL MINORISTA DE ABASTOS DE VILLAVICENCIO - CEMERCA Local G0701</t>
  </si>
  <si>
    <t>18496</t>
  </si>
  <si>
    <t>CENTRAL MINORISTA DE ABASTOS DE VILLAVICENCIO - CEMERCA Local G1108</t>
  </si>
  <si>
    <t>18571</t>
  </si>
  <si>
    <t>18117</t>
  </si>
  <si>
    <t>CENTRAL MINORISTA DE ABASTOS DE VILLAVICENCIO - CEMERCA Local A0903</t>
  </si>
  <si>
    <t>18118</t>
  </si>
  <si>
    <t>CENTRAL MINORISTA DE ABASTOS DE VILLAVICENCIO - CEMERCA Local A0904</t>
  </si>
  <si>
    <t>18119</t>
  </si>
  <si>
    <t>CENTRAL MINORISTA DE ABASTOS DE VILLAVICENCIO - CEMERCA Local A0909</t>
  </si>
  <si>
    <t>18120</t>
  </si>
  <si>
    <t>CENTRAL MINORISTA DE ABASTOS DE VILLAVICENCIO - CEMERCA Local A0918</t>
  </si>
  <si>
    <t>18121</t>
  </si>
  <si>
    <t>CENTRAL MINORISTA DE ABASTOS DE VILLAVICENCIO - CEMERCA Local A0929</t>
  </si>
  <si>
    <t>18143</t>
  </si>
  <si>
    <t>CENTRAL MINORISTA DE ABASTOS DE VILLAVICENCIO - CEMERCA Local A2003</t>
  </si>
  <si>
    <t>18144</t>
  </si>
  <si>
    <t>CENTRAL MINORISTA DE ABASTOS DE VILLAVICENCIO - CEMERCA Local A2009</t>
  </si>
  <si>
    <t>18278</t>
  </si>
  <si>
    <t>CENTRAL MINORISTA DE ABASTOS DE VILLAVICENCIO - CEMERCA Local A3803</t>
  </si>
  <si>
    <t>18279</t>
  </si>
  <si>
    <t>CENTRAL MINORISTA DE ABASTOS DE VILLAVICENCIO - CEMERCA Local A3804</t>
  </si>
  <si>
    <t>18280</t>
  </si>
  <si>
    <t>CENTRAL MINORISTA DE ABASTOS DE VILLAVICENCIO - CEMERCA Local A3805</t>
  </si>
  <si>
    <t>18281</t>
  </si>
  <si>
    <t>CENTRAL MINORISTA DE ABASTOS DE VILLAVICENCIO - CEMERCA Local A3806</t>
  </si>
  <si>
    <t>18282</t>
  </si>
  <si>
    <t>CENTRAL MINORISTA DE ABASTOS DE VILLAVICENCIO - CEMERCA Local A3807</t>
  </si>
  <si>
    <t>18283</t>
  </si>
  <si>
    <t>CENTRAL MINORISTA DE ABASTOS DE VILLAVICENCIO - CEMERCA Local A3808</t>
  </si>
  <si>
    <t>18284</t>
  </si>
  <si>
    <t>CENTRAL MINORISTA DE ABASTOS DE VILLAVICENCIO - CEMERCA Local A3809</t>
  </si>
  <si>
    <t>18285</t>
  </si>
  <si>
    <t>CENTRAL MINORISTA DE ABASTOS DE VILLAVICENCIO - CEMERCA Local A3810</t>
  </si>
  <si>
    <t>18286</t>
  </si>
  <si>
    <t>CENTRAL MINORISTA DE ABASTOS DE VILLAVICENCIO - CEMERCA Local A3817</t>
  </si>
  <si>
    <t>18287</t>
  </si>
  <si>
    <t>CENTRAL MINORISTA DE ABASTOS DE VILLAVICENCIO - CEMERCA Local A3818</t>
  </si>
  <si>
    <t>18288</t>
  </si>
  <si>
    <t>CENTRAL MINORISTA DE ABASTOS DE VILLAVICENCIO - CEMERCA Local A3819</t>
  </si>
  <si>
    <t>18289</t>
  </si>
  <si>
    <t>CENTRAL MINORISTA DE ABASTOS DE VILLAVICENCIO - CEMERCA Local A3820</t>
  </si>
  <si>
    <t>18291</t>
  </si>
  <si>
    <t>CENTRAL MINORISTA DE ABASTOS DE VILLAVICENCIO - CEMERCA Local B0102</t>
  </si>
  <si>
    <t>18292</t>
  </si>
  <si>
    <t>CENTRAL MINORISTA DE ABASTOS DE VILLAVICENCIO - CEMERCA Local B0104</t>
  </si>
  <si>
    <t>18293</t>
  </si>
  <si>
    <t>CENTRAL MINORISTA DE ABASTOS DE VILLAVICENCIO - CEMERCA Local B0106</t>
  </si>
  <si>
    <t>18294</t>
  </si>
  <si>
    <t>CENTRAL MINORISTA DE ABASTOS DE VILLAVICENCIO - CEMERCA Local B0107</t>
  </si>
  <si>
    <t>18295</t>
  </si>
  <si>
    <t>CENTRAL MINORISTA DE ABASTOS DE VILLAVICENCIO - CEMERCA Local B0108</t>
  </si>
  <si>
    <t>18296</t>
  </si>
  <si>
    <t>CENTRAL MINORISTA DE ABASTOS DE VILLAVICENCIO - CEMERCA Local B0110</t>
  </si>
  <si>
    <t>18297</t>
  </si>
  <si>
    <t>CENTRAL MINORISTA DE ABASTOS DE VILLAVICENCIO - CEMERCA Local B0111</t>
  </si>
  <si>
    <t>18298</t>
  </si>
  <si>
    <t>CENTRAL MINORISTA DE ABASTOS DE VILLAVICENCIO - CEMERCA Local B0112</t>
  </si>
  <si>
    <t>18299</t>
  </si>
  <si>
    <t>CENTRAL MINORISTA DE ABASTOS DE VILLAVICENCIO - CEMERCA Local B0113</t>
  </si>
  <si>
    <t>18300</t>
  </si>
  <si>
    <t>CENTRAL MINORISTA DE ABASTOS DE VILLAVICENCIO - CEMERCA Local B0114</t>
  </si>
  <si>
    <t>18305</t>
  </si>
  <si>
    <t>CENTRAL MINORISTA DE ABASTOS DE VILLAVICENCIO - CEMERCA Local B0125</t>
  </si>
  <si>
    <t>18306</t>
  </si>
  <si>
    <t>CENTRAL MINORISTA DE ABASTOS DE VILLAVICENCIO - CEMERCA Local B0126</t>
  </si>
  <si>
    <t>18307</t>
  </si>
  <si>
    <t>CENTRAL MINORISTA DE ABASTOS DE VILLAVICENCIO - CEMERCA Local B0127</t>
  </si>
  <si>
    <t>18308</t>
  </si>
  <si>
    <t>CENTRAL MINORISTA DE ABASTOS DE VILLAVICENCIO - CEMERCA Local B0129</t>
  </si>
  <si>
    <t>18309</t>
  </si>
  <si>
    <t>CENTRAL MINORISTA DE ABASTOS DE VILLAVICENCIO - CEMERCA Local B0131</t>
  </si>
  <si>
    <t>18310</t>
  </si>
  <si>
    <t>CENTRAL MINORISTA DE ABASTOS DE VILLAVICENCIO - CEMERCA Local B0133</t>
  </si>
  <si>
    <t>18311</t>
  </si>
  <si>
    <t>CENTRAL MINORISTA DE ABASTOS DE VILLAVICENCIO - CEMERCA Local B0202</t>
  </si>
  <si>
    <t>18312</t>
  </si>
  <si>
    <t>CENTRAL MINORISTA DE ABASTOS DE VILLAVICENCIO - CEMERCA Local B0206</t>
  </si>
  <si>
    <t>18313</t>
  </si>
  <si>
    <t>CENTRAL MINORISTA DE ABASTOS DE VILLAVICENCIO - CEMERCA Local B0207</t>
  </si>
  <si>
    <t>18314</t>
  </si>
  <si>
    <t>CENTRAL MINORISTA DE ABASTOS DE VILLAVICENCIO - CEMERCA Local B0209</t>
  </si>
  <si>
    <t>18315</t>
  </si>
  <si>
    <t>CENTRAL MINORISTA DE ABASTOS DE VILLAVICENCIO - CEMERCA Local B0211</t>
  </si>
  <si>
    <t>18316</t>
  </si>
  <si>
    <t>CENTRAL MINORISTA DE ABASTOS DE VILLAVICENCIO - CEMERCA Local B0213</t>
  </si>
  <si>
    <t>18317</t>
  </si>
  <si>
    <t>CENTRAL MINORISTA DE ABASTOS DE VILLAVICENCIO - CEMERCA Local B0219</t>
  </si>
  <si>
    <t>18318</t>
  </si>
  <si>
    <t>CENTRAL MINORISTA DE ABASTOS DE VILLAVICENCIO - CEMERCA Local B0228</t>
  </si>
  <si>
    <t>18320</t>
  </si>
  <si>
    <t>CENTRAL MINORISTA DE ABASTOS DE VILLAVICENCIO - CEMERCA Local B0303</t>
  </si>
  <si>
    <t>18321</t>
  </si>
  <si>
    <t>CENTRAL MINORISTA DE ABASTOS DE VILLAVICENCIO - CEMERCA Local B0306</t>
  </si>
  <si>
    <t>18322</t>
  </si>
  <si>
    <t>CENTRAL MINORISTA DE ABASTOS DE VILLAVICENCIO - CEMERCA Local B0309</t>
  </si>
  <si>
    <t>18323</t>
  </si>
  <si>
    <t>CENTRAL MINORISTA DE ABASTOS DE VILLAVICENCIO - CEMERCA Local B0310</t>
  </si>
  <si>
    <t>18324</t>
  </si>
  <si>
    <t>CENTRAL MINORISTA DE ABASTOS DE VILLAVICENCIO - CEMERCA Local B0312</t>
  </si>
  <si>
    <t>18325</t>
  </si>
  <si>
    <t>CENTRAL MINORISTA DE ABASTOS DE VILLAVICENCIO - CEMERCA Local B0314</t>
  </si>
  <si>
    <t>18326</t>
  </si>
  <si>
    <t>CENTRAL MINORISTA DE ABASTOS DE VILLAVICENCIO - CEMERCA Local B0315</t>
  </si>
  <si>
    <t>18327</t>
  </si>
  <si>
    <t>CENTRAL MINORISTA DE ABASTOS DE VILLAVICENCIO - CEMERCA Local B0321</t>
  </si>
  <si>
    <t>18328</t>
  </si>
  <si>
    <t>CENTRAL MINORISTA DE ABASTOS DE VILLAVICENCIO - CEMERCA Local B0322</t>
  </si>
  <si>
    <t>18329</t>
  </si>
  <si>
    <t>CENTRAL MINORISTA DE ABASTOS DE VILLAVICENCIO - CEMERCA Local B0323</t>
  </si>
  <si>
    <t>18330</t>
  </si>
  <si>
    <t>CENTRAL MINORISTA DE ABASTOS DE VILLAVICENCIO - CEMERCA Local B0324</t>
  </si>
  <si>
    <t>18331</t>
  </si>
  <si>
    <t>CENTRAL MINORISTA DE ABASTOS DE VILLAVICENCIO - CEMERCA Local B0327</t>
  </si>
  <si>
    <t>18332</t>
  </si>
  <si>
    <t>CENTRAL MINORISTA DE ABASTOS DE VILLAVICENCIO - CEMERCA Local B0329</t>
  </si>
  <si>
    <t>18333</t>
  </si>
  <si>
    <t>CENTRAL MINORISTA DE ABASTOS DE VILLAVICENCIO - CEMERCA Local B0330</t>
  </si>
  <si>
    <t>18334</t>
  </si>
  <si>
    <t>CENTRAL MINORISTA DE ABASTOS DE VILLAVICENCIO - CEMERCA Local B0331</t>
  </si>
  <si>
    <t>18335</t>
  </si>
  <si>
    <t>CENTRAL MINORISTA DE ABASTOS DE VILLAVICENCIO - CEMERCA Local B0333</t>
  </si>
  <si>
    <t>19140</t>
  </si>
  <si>
    <t>DEPOSITO</t>
  </si>
  <si>
    <t>18842</t>
  </si>
  <si>
    <t>KILÓMETRO 4  DE LA VÍA MAMONAL  CARRERA 56, #60D-240, #60D-170, BODEGA 5A BARRIO ARROZ BARATO SECTOR PUERTA DE HIERRO</t>
  </si>
  <si>
    <t>18137</t>
  </si>
  <si>
    <t>CENTRAL MINORISTA DE ABASTOS DE VILLAVICENCIO - CEMERCA Local A1910</t>
  </si>
  <si>
    <t>18447</t>
  </si>
  <si>
    <t>CENTRAL MINORISTA DE ABASTOS DE VILLAVICENCIO - CEMERCA Local G0705</t>
  </si>
  <si>
    <t>17336</t>
  </si>
  <si>
    <t>CL 69  Ó ACCESO A CUBA  AV 30 DE AGOSTO  LOTE 13</t>
  </si>
  <si>
    <t>11335</t>
  </si>
  <si>
    <t>CIUDADELA CHIPICHAPE</t>
  </si>
  <si>
    <t>LT  B  PARTE DEL PREDIO CHIPICHAPE</t>
  </si>
  <si>
    <t>17337</t>
  </si>
  <si>
    <t>CL 69  O ACCESO A CUBA  AV 30 DE AGOSTO  LOTE 13 A</t>
  </si>
  <si>
    <t>12118</t>
  </si>
  <si>
    <t>LT 3B3</t>
  </si>
  <si>
    <t>17009</t>
  </si>
  <si>
    <t>CALLE PRINCIPAL - CORREGIMIENTO GUADUAL</t>
  </si>
  <si>
    <t>LOTE AGRICOLA</t>
  </si>
  <si>
    <t>16752</t>
  </si>
  <si>
    <t>CALLE 4  15  20 LOTE</t>
  </si>
  <si>
    <t>16909</t>
  </si>
  <si>
    <t>MARSELLA</t>
  </si>
  <si>
    <t>Local No 15 Sector Terminal de Transportes</t>
  </si>
  <si>
    <t>12709</t>
  </si>
  <si>
    <t>PRADOS DEL NORTE</t>
  </si>
  <si>
    <t>CL 30N #  2B-38 LOCAL 562  CENTRO COMERCIAL SANTIAGO</t>
  </si>
  <si>
    <t>¡OPORTUNIDAD PARA INVERTIR! LOCAL EN PROINDIVISO, UBICADO EN EL NORTE DE CALI CON CERCANIA A PUNTOS INTERES COMO LA TERMINAL DE TRANSPORTES, COLEGIO HISPANOAMERICANO, EL VIVERO MUNICIPAL, EL MONUMENTO A LA SOLIDARIDAD, CLUB COLOMBIA Y PARQUE VERSALLE</t>
  </si>
  <si>
    <t>17992</t>
  </si>
  <si>
    <t>12708</t>
  </si>
  <si>
    <t>CL 30N #  2B-38 LOCAL 564 CENTRO COMERCIAL SANTIAGO</t>
  </si>
  <si>
    <t>12706</t>
  </si>
  <si>
    <t>CL 30N #  2B-38 LOCAL 367 CENTRO COMERCIAL SANTIAGO</t>
  </si>
  <si>
    <t>12707</t>
  </si>
  <si>
    <t>CL 30N #  2B-38 LOCAL 370 CENTRO COMERCIAL SANTIAGO</t>
  </si>
  <si>
    <t>Precio Mil Millones</t>
  </si>
  <si>
    <t>Precio m2 Terreno</t>
  </si>
  <si>
    <t>Precio m2 Terreno Millones</t>
  </si>
  <si>
    <t>Precio m2 Terreno Mil Millones</t>
  </si>
  <si>
    <t>CISA VENDE DERECHOS FIDUCIARIOS DEL 9,48%
FIDEICOMISO ADMINISTRADO POR ACCION FIDUCIARIA S,A,</t>
  </si>
  <si>
    <t>CISA VENDE SOLO LOS DERECHOS FIDUCIARIOS DEL 0,388%,
FIDEICOMISO ADMINISTRADO POR ACCION FIDUCIARIA S,A,</t>
  </si>
  <si>
    <t>EXCELENTE LOTE CON VISTA AL LAGO CALIMA, UBICADO EN EL EXCLUSIVO POYECTO DE CALIMA RESORT, CERCA A SITIOS DE INTERES COMO EL HOTEL COMFANDI,</t>
  </si>
  <si>
    <t>LOTE DE TERRENO QUE HACE PARTE DEL PROYECTO CALIMA RESORT, SECTOR QUE SE CARACTERIZA POR SER UNO DE LOS SITIOS MÁS IMPORTANTES DE INTERÉS AMBIENTAL, PAISAJÍSTICO Y RECREACIONAL DEL VALLE DEL CAUCA,</t>
  </si>
  <si>
    <t>LOTE TERRENO NETO , EN PROINDIVISO, SEMI-URBANIZADO, DE CONFIGURACION IRREGULAR UBICADO EN ZONA INDUSTRIAL PROPICIO PARA EL DESARROLLO DE BODEGAS,</t>
  </si>
  <si>
    <t>CRA, 10 #11- 78/80 Ó CL 12 # 9 - 77/85 Ó CALLE 12 # 9 - 65/73 - SOGAMOSO</t>
  </si>
  <si>
    <t>AV CR 7 NO, 166 - 51 LT B</t>
  </si>
  <si>
    <t>CL 72 No, 12 - 77</t>
  </si>
  <si>
    <t>CLL, 9 N° 5-76 Y KR, 5A N° 9-44</t>
  </si>
  <si>
    <t>LOTE DE TERRENO URBANO QUE CUENTA CON CONSTRUCCIONES TIPO BODEGA DE ALMACENAMIENTO, OFICINAS Y CASA, EL INMUEBLE SE ENCUENTRA UBICADO EN LA ESQUINA NOROCCIDENTAL DE LA INTERSECCION DE LA CRA 5 Y LA CALLE 9, ENFRENTE DEL HOSPITAL</t>
  </si>
  <si>
    <t>CALLE 15 No, 1-70</t>
  </si>
  <si>
    <t>Av, 15 No, 127 B 78 Apto, 1201 - Edificio Mirador del Country</t>
  </si>
  <si>
    <t>VEREDA PANTANILLO - CONDOMINIO CAMPESTRE PH - LOTE No, 9</t>
  </si>
  <si>
    <t>¡GRAN OPORTUNIDAD!, LOTE UBICADO EN EL CONDOMINIO CASA CAMPESTRE, CON EXCELENTE UBICACIÓN Y ÁREA, INMUEBLE PROPIEDAD UARIV</t>
  </si>
  <si>
    <t>SECTOR MARACAY A 1,5 KM VIA A CERRITOS FINCA EL TEJAR LOTE 32</t>
  </si>
  <si>
    <t>CARRERA 19  No, 102-40</t>
  </si>
  <si>
    <t>Carrera 7 No, 50-35 ENER 22 Bodega de Alta Tensión</t>
  </si>
  <si>
    <t>Calle 4 No, 18-55 Apto, 1506 - Torre 1 - Balcones de la Calera</t>
  </si>
  <si>
    <t>¡EXCELENTE OPORTUNIDAD! APARTAMENTO UBICADO EN EL POBLADO UNIDAD RESIDENCIAL BALCONES DE LA CALERA, ÁREA 241,80 M2, APARTAMENTO CON  3 HABITACIONES CON BAÑO Y CLOSET, ALCOBA PRINCIPAL BAÑO Y VESTIER, COMEDOR, SALA ESTAR, CUARTO Y BAÑO DE SERVICIO, CU</t>
  </si>
  <si>
    <t>Calle 34 No, 41 - 31</t>
  </si>
  <si>
    <t>CALLE 22D NO, 120-19  -FONTIBÓN</t>
  </si>
  <si>
    <t>LOTE CON CONSTRUCCION DE DOS NIVELES TIPO CAMPESTRE CON ÁREA DE  482 MS APROX, Y UN ÁREA DE TERRENO DE 2,617 M2 APROXIMADOS EN MUNICIPIO LA CEJA VERDEA SAN NICOLAS,</t>
  </si>
  <si>
    <t>LOTE No, 13 SEGREGADO DEL DENOMINADO GRACIAS A DIOS</t>
  </si>
  <si>
    <t>OPORTUNIDAD DE INVERTIR EN EXCELENTE PREDIO UBICADO SOBRE LA VÍA A MAMONAL, IMPORTANTE SECTOR INDUSTRIAL Y LOGÍSTICO DE CARTAGENA,</t>
  </si>
  <si>
    <t>LOTE UBICADO EN EL CORREGIMIENTO DE LA CAUCANA, VEREDA PIEDRA BRAVA DEL MUNICIPIO DE TARAZÁ, LOTE DE TERRENO CON UN ÁREA DESTINADA A CULTIVO DE CAUCHO NO CUENTA CON CONSTRUCCIONES,</t>
  </si>
  <si>
    <t>INMUEBLE RURAL UBICADO EN TARAZA ANTIOQUIA DESTINADO A CULTIVO DE CAUCHO CON UNA CONSTRUCCIÓN CON DESTINACIÓN ACTUAL DE ALMACENAMIENTO ADEMÁS CUENTA CON CERCA VIVA DE ÁRBOLES DE TECA,</t>
  </si>
  <si>
    <t>Lote El Triángulo - Cra, 26 con Calle 15</t>
  </si>
  <si>
    <t>LOTE DE TERRENO DE 4,892 M2, UBICADO EN CARRERA 26 CON CALLE 15, ACTUALMENTE SE ENCUENTRA ADECUADO PARA EL FUNCIONAMIENTO DE UNA CANCHA DE FÚTBOL,</t>
  </si>
  <si>
    <t>Carrera 6 No, 3 Bis 62</t>
  </si>
  <si>
    <t>CALLE 64 NO, 8 A 53 - BARRIO LA CASTELLANA</t>
  </si>
  <si>
    <t>CALLE 59 NO, 10 A 48 - BRR, LA CASTELLANA</t>
  </si>
  <si>
    <t>Cra, 13 No, 102-23 - Buenos Aires</t>
  </si>
  <si>
    <t>¡GRAN OPORTUNIDAD DE INVERSIÓN!, BODEGA UBICADA EN TURBO BARRIO BUENOS AIRES, SECTOR CENTRAL DE ACTIVIDAD COMERCIAL SE ENCUENTRA CERCA A  CENTRO COMERCIAL SAN DIEGO, CONCEJO MUNICIPAL, IGLESIA NUESTRA SEÑORA DEL CARMEN, EMBARCADERO Y PARQUE DE TURBO,</t>
  </si>
  <si>
    <t>Carrera 10 No, 19-79 Ofc, 905 - CAMACOL</t>
  </si>
  <si>
    <t>CLL 69 O ACEESO A CUBA AV,  30 DE AGOSTO LOTE 2</t>
  </si>
  <si>
    <t>CRA, 5 No, 15 - 40</t>
  </si>
  <si>
    <t>INMUEBLE PROPIEDAD DE LA UNIDAD PARA LAS VÍCTIMAS - INICIA RECEPCIÓN DE OFERTAS,</t>
  </si>
  <si>
    <t>CR, 5 # 12-47 LT 19 MZ K URB, EL REFUGIO</t>
  </si>
  <si>
    <t>CISA COMERCIALIZA EL LOTE DE TERRENO SIN LAS MEJORAS EN EL LEVANTADAS,</t>
  </si>
  <si>
    <t>CR 70 No, 49-77</t>
  </si>
  <si>
    <t>FINCA EN BUENA VISTA CORDOBA CORREGIMIENTO BELEN, VEREDA TIERRA SANTA CUENTA CON UN  ÁREA DE  370,000 M2 CUYA VOCACION ACTUAL ES AGROPECUARIO,</t>
  </si>
  <si>
    <t>CL 11  No, 4-45/47/49/53</t>
  </si>
  <si>
    <t>Cra 43B No, 16 - 95 Edificio Cámara Colombiana de la Infraestructura, Of 0203</t>
  </si>
  <si>
    <t>OFICINA UBICADA EDIFICIO CÁMARA COLOMBIA DE LA INFRAESTRUCTURA, PORCENTAJE DE PROPIEDAD 43,45% CUENTA CON UN ÁREA DE 98,55 M2,LOCALIZADO EN UN  RECONOCIDO SECTOR DEL POBLADO, EL CUAL CUENTA CON IMPORTANTES VÍAS DE ACCESO Y UBICACIÓN ESTRATÉGICA COMER</t>
  </si>
  <si>
    <t>CL 49B  No, 64B-54  ED SAN PABLO  OF 207</t>
  </si>
  <si>
    <t>¡GRAN OPORTUNIDAD! OFICINA UBICADA EN EL EDIFICIO SAN PABLO EN EL BARRIO SURAMERICANA, LA OFICINA  SE DISTRIBUYE DE LA SIGUIENTE MANERA: ACCESO, RECEPCIÓN, OFICINA EN UN SOLO AMBIENTE, DEPOSITO, BAÑO Y COCINA CON UN ÁREA DE 78 M2,</t>
  </si>
  <si>
    <t>CR 6 NO, 15-15</t>
  </si>
  <si>
    <t>AV, 13 # 108-28/48 APARTASUITE 503, ED, LANCASTER HOUSE P,H,</t>
  </si>
  <si>
    <t>EL EDIFICIO LANCASTER HOUSE PH, DEL QUE HACE PARTE EL APARTA SUITE EN ESTUDIO, ESTÁ UBICADO EN EL COSTADO ORIENTAL DE LA AVENIDA CARRERA 45 (PARALELA ORIENTAL DE LA AUTOPISTA NORTE, ANTES DENOMINADA AVENIDA 13), ENTRE LAS CALLES 106 B Y 107, BARRIO S</t>
  </si>
  <si>
    <t>CL 49B  No, 64B-54  ED SAN PABLO  OF 302</t>
  </si>
  <si>
    <t>LOCAL UBICADO EN EL CENTRO COMERCIAL PARQUE CALDAS- MANIZALES , PORCENTAJE DE PROPIEDAD DEL 28,4016%, CON ÁREA PRIVADA DE 91,47MT2,</t>
  </si>
  <si>
    <t>LOTE DE 15 HECATRAEAS CON CULTIVO DE CAUCHO UBICADO EN TARZA ANTIOQUIA VEREDA LA PRIMAVERA, ADICIONALMENTE CUENTA CON UNA CONSTRUCCION CON USO ACTUAL DE ALMACENAMIENTO,</t>
  </si>
  <si>
    <t>CRA, 1 No, 31-57/63 - CORREGIMIENTO SAN MIGUEL</t>
  </si>
  <si>
    <t>CR 51 B No, 76-136 ED CENTRO EMPRESARIAL LA PREVISORA OFICINA 204 PARQUEADERO 47</t>
  </si>
  <si>
    <t>NO PIERDAS LA OPORTUNIDAD DE UBICAR TU OFICINA EN UN EXCELENTE SECTOR DE LA CIUDAD, CUENTA CON EL ESPACIO QUE NECESITAS,</t>
  </si>
  <si>
    <t>CR 51 B No, 76-136 ED CENTRO EMPRESARIAL LA PREVISORA OFICINA 203 PARQUEADERO 46</t>
  </si>
  <si>
    <t>CR 51 B No, 76-136 ED CENTRO EMPRESARIAL LA PREVISORA OFICINA 205 PARQUEADERO 48</t>
  </si>
  <si>
    <t>CRA, 2 A No, 32 - 11</t>
  </si>
  <si>
    <t>CR 51 B No, 76-136 ED CENTRO EMPRESARIAL LA PREVISORA OFICINA 206 PARQUEADERO 32</t>
  </si>
  <si>
    <t>CR 51 B No, 76-136 ED CENTRO EMPRESARIAL LA PREVISORA OFICINA 207 PARQUEADERO 33</t>
  </si>
  <si>
    <t>LOTE PARA VIVIENDA AREA APROXIMADA DE 202,6 MTS, MUNICIPIO MANIZALES SECTOR LOS ALCAZERES</t>
  </si>
  <si>
    <t>CRA, 5 C NO, 19-18 - BARRIO PASEO DEL PUENTE</t>
  </si>
  <si>
    <t>CL, 12 # 2A-05 LOCAL B-4 TORRE B</t>
  </si>
  <si>
    <t>¡GRAN OPORTUNIDAD!, LOCAL COMERCIAL UBICADO EN MANIZALES EN EL BARRIO VILLA PILAR, CON ÁREA DE 95,49MT2</t>
  </si>
  <si>
    <t>CR 51 B No, 76-136 ED CENTRO EMPRESARIAL LA PREVISORA OFICINA 208</t>
  </si>
  <si>
    <t>CL, 50 # 10 SUR -55</t>
  </si>
  <si>
    <t>CISA VENDE SOLO EL LOTE, LA CONSTRUCCION ES DE TERCEROS</t>
  </si>
  <si>
    <t>Calle 42 A No, 24-79</t>
  </si>
  <si>
    <t>INMUEBLE RURAL DESTINADO A GANADERÍA, EL PREDIO EN SU MAYORÍA CUENTA CON UNA TOPOGRAFÍA PLANA,  EL PREDIO CUENTA CON SUMINISTRO DE ENERGÍA ELÉCTRICA,</t>
  </si>
  <si>
    <t>CLL 69 O ACEESO A CUBA AV,  30 DE AGOSTO LOTE 10</t>
  </si>
  <si>
    <t>CL, 45G # 16 SUR-08</t>
  </si>
  <si>
    <t>CR 8 A NO, 8-42 - BRR, 20 DE JULIO</t>
  </si>
  <si>
    <t>GRAN OPORTUNIDAD DE INVERSIÓN LOTE CON ÁREA DE 720 M2 UBICADO EN ACANDÍ – CHOCO, EL SECTOR DONDE SE ENCUENTRA UBICADO EL LOTE, PREDOMINA EL USO RESIDENCIAL DE TIPO UNIFAMILIAR, TOPOGRAFÍA PLANA,</t>
  </si>
  <si>
    <t>APARTAMENTO 101 ÁREA APROXIMADA DE 105,29 M2, BLOQUE 1 URBANIZACIÓN SAN MARTIN MUNICIPIO TARAZÁ, BUENAS VIAS DE ACCESO</t>
  </si>
  <si>
    <t>AVENIDA 30 DE AGOSTO CLL 69 O ACCESO A CUBA LOTE J, IDENT, COMO LOTE 20</t>
  </si>
  <si>
    <t>Carrera 21 B No, 36-02 Manzana H Casa 1</t>
  </si>
  <si>
    <t>GRAN OPORTUNIDAD DE INVERSIÓN LOTE CON ÁREA DE 589 M2 UBICADO EN ACANDÍ – CHOCO, EL SECTOR DONDE SE ENCUENTRA UBICADO EL LOTE, PREDOMINA EL USO RESIDENCIAL DE TIPO UNIFAMILIAR, TOPOGRAFÍA PLANA,</t>
  </si>
  <si>
    <t>Parcela 8 Castillo Diaz - Las Tangas, Vereda Guasimal</t>
  </si>
  <si>
    <t>INMUEBLE RURAL, CORREGIMIENTO DE VILLA NUEVA, MUNICIPIO DE VALENCIA, LOTE DE TERRENO CON DESTINACIÓN AGRICOLA - GANADERA, CON 8,92 HA</t>
  </si>
  <si>
    <t>APARTAMENTO UBICADO EN LA URBANIZACION SAN MARTIN II MUNICIPIO DE TARAZÁ ÁREA 92,83 M2 APROX, CON UNA DISTRIBUCIÓN TRES HABITACIONES, DOS BAÑOS, PATIO DESCUBIERTO CON ZONA DE ROPAS, SALA – COMEDOR Y COCINA,</t>
  </si>
  <si>
    <t>Diagonal 22 No, 53 - 41 Urb, Rincón del Alto Bosque PH Etapa I Bl 1 Apto 408 Dúplex</t>
  </si>
  <si>
    <t>OPORTUNIDAD DE INVERTIR EN APARTAMENTO DÚPLEX EN CONJUNTO RESIDENCIAL ALTO BOSQUE, IMPORTANTE MULTIFAMILIAR EN BARRIO EL BOSQUE EN CARTAGENA,</t>
  </si>
  <si>
    <t>Diagonal 22 No, 53 - 41 Urb, Rincón del Alto Bosque PH Etapa II Bl 4 Apto 407 Dúplex</t>
  </si>
  <si>
    <t>CLL 69 O ACEESO A CUBA AV,  30 DE AGOSTO LOTE 12</t>
  </si>
  <si>
    <t>Calle 1 A No, 8-114 -Manzana G-23 - Lote 11</t>
  </si>
  <si>
    <t>CARRERA 42 A  No, 10 A - 09</t>
  </si>
  <si>
    <t>INVIERTA EN ESTE TERRENO CAMPESTRE EN UNA ZONA DE CLIMA TEMPLADO Y BELLOS PAISAJES, SOBRE LA VÍA AL MAR,  EL SECTOR CUENTA CON LOS SERVICIOS DE ACUEDUCTO, GAS NATURAL Y ENERGÍA, CERCANIA CON EL PARADERO DE JEEPS DE PATIO BONITO Y EL CAI FORESTAL,</t>
  </si>
  <si>
    <t>CLL 69 O ACEESO A CUBA AV,  30 DE AGOSTO LOTE 11</t>
  </si>
  <si>
    <t>ESTE PORCENTAJE DE PROPIEDAD SE VENDE JUNTO CON OTROS 14 QUE CORRESPONDEN A BODEGAS UBICADAS EN LA  MISMA ZONA, POR UN PRECIO MINIMO DE VENTA DE $280,772,600,</t>
  </si>
  <si>
    <t>INVIERTA EN ESTE TERRENO CAMPESTRE EN UNA ZONA DE CLIMA TEMPLADO Y BELLOS PAISAJES, SOBRE LA VÍA AL MAR,  EL SECTOR CUENTA CON LOS SERVICIOS DE ACUEDUCTO, GAS NATURAL Y ENERGÍA, CERCANIA CON LA ESTACION DE SERVICIO ESSO, LOTE EN PENDIENTE 100%,</t>
  </si>
  <si>
    <t>CLL 69 O ACEESO A CUBA AV,  30 DE AGOSTO LOTE 15</t>
  </si>
  <si>
    <t>CALLE 9 NO, 15 79/89 BARRIO CHAPINERO</t>
  </si>
  <si>
    <t>CL 48  No, 53 - 39 C,C, JAPON INT, 0937</t>
  </si>
  <si>
    <t>GRAN OPORTUNIDAD DE INVERSIÓN LOCAL EN CL, 48 NO, 53 - 39 C,C, JAPÓN INT, 0937 DONDE SE ARTICULAN ACTIVIDADES COMERCIALES, CENTROS COMERCIALES, TIENDAS, EXCELENTES PERSPECTIVAS DE VALORIZACIÓN, MUY BUENAS VÍAS DE ACCESO,</t>
  </si>
  <si>
    <t>CALLES 18 Y 19  CARRERAS 5 Y 6  SALIDA CARRERA 5  No, 18 - 43 / CARRERA 5  CALLES 18 Y 19  No, 18 - 49 / CALLE 19 No, 5 - 33  ED CLINICA RISARALDA</t>
  </si>
  <si>
    <t>CLL 69 O ACEESO A CUBA AV,  30 DE AGOSTO LOTE 16</t>
  </si>
  <si>
    <t>CL 48  No, 53 - 39 C,C, JAPON INT, 0934</t>
  </si>
  <si>
    <t>GRAN OPORTUNIDAD DE INVERSIÓN LOCAL EN CL, CL 48 NO, 53 - 39 C,C, JAPÓN INT, 0934 DONDE SE ARTICULAN ACTIVIDADES COMERCIALES, CENTROS COMERCIALES, TIENDAS, EXCELENTES PERSPECTIVAS DE VALORIZACIÓN, MUY BUENAS VÍAS DE ACCESO,</t>
  </si>
  <si>
    <t>CL 70 B  No, 41 - 226</t>
  </si>
  <si>
    <t>CLL 69 O ACEESO A CUBA AV,  30 DE AGOSTO LOTE 14</t>
  </si>
  <si>
    <t>ESTE LOTE SE VENDE JUNTO CON OTROS 15 DE LA MISMA ZONA POR EL VALOR DE LOS GASTOS CAUSADOS HASTA LA FECHA DE PRESENTACION DE LA OFERTA, EL CUAL A OCT DEL 2020 ES $89,000,000 (VALOR A CONFIRMAR CON FINANCIERA ANTES DE CERRAR CUALQUIER NEGOCIACION),</t>
  </si>
  <si>
    <t>LOCAL No, 10 CENTRO COMERCIAL EL PEÑON INN PLAZA</t>
  </si>
  <si>
    <t>Calle 52W No, 5A-92 AG 13 Depósito 38 Centro Comercial Santiago</t>
  </si>
  <si>
    <t>¡OPORTUNIDAD PARA INVERTIR! DEPOSITO, UBICADO EN EL NORTE DE CALI CON CERCANIA A PUNTOS INTERES COMO LA TERMINAL DE TRANSPORTES, COLEGIO HISPANOAMERICANO, EL VIVERO MUNICIPAL, EL MONUMENTO A LA SOLIDARIDAD, CLUB COLOMBIA Y PARQUE VERSALLES,</t>
  </si>
  <si>
    <t>LOTE RURAL DE USO AGRICOLA LOCALIZADO DEN LA VEREDA GUADUAL ALTO DEL MUNICIPIO DE VALENCIA CON UN ÁREA APROXIMADA DE 10,00 M2</t>
  </si>
  <si>
    <t>GRAN OPORTUNIDAD DE INVERSIÓN LOCAL NO 15 SECTOR TERMINAL DE TRANSPORTES DONDE SE ARTICULAN ACTIVIDADES COMERCIALES, CENTROS COMERCIALES, TIENDAS, EXCELENTES PERSPECTIVAS DE VALORIZACIÓN, MUY BUENAS VÍAS DE ACCESO,</t>
  </si>
  <si>
    <t>CR 70 NO, 49-77</t>
  </si>
  <si>
    <t>Row Labels</t>
  </si>
  <si>
    <t>Grand Total</t>
  </si>
  <si>
    <t>Count of Tipo de Inmueble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</si>
</sst>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00000_-;\-&quot;$&quot;\ * #,##0.00000_-;_-&quot;$&quot;\ *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4" fontId="0" fillId="0" borderId="0" xfId="0" applyNumberFormat="1"/>
    <xf numFmtId="164" fontId="0" fillId="0" borderId="0" xfId="0" applyNumberFormat="1"/>
    <xf numFmtId="2"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5">
    <dxf>
      <numFmt numFmtId="34" formatCode="_-&quot;$&quot;\ * #,##0.00_-;\-&quot;$&quot;\ * #,##0.00_-;_-&quot;$&quot;\ * &quot;-&quot;??_-;_-@_-"/>
    </dxf>
    <dxf>
      <numFmt numFmtId="34" formatCode="_-&quot;$&quot;\ * #,##0.00_-;\-&quot;$&quot;\ * #,##0.00_-;_-&quot;$&quot;\ * &quot;-&quot;??_-;_-@_-"/>
    </dxf>
    <dxf>
      <numFmt numFmtId="34" formatCode="_-&quot;$&quot;\ * #,##0.00_-;\-&quot;$&quot;\ * #,##0.00_-;_-&quot;$&quot;\ * &quot;-&quot;??_-;_-@_-"/>
    </dxf>
    <dxf>
      <numFmt numFmtId="34" formatCode="_-&quot;$&quot;\ * #,##0.00_-;\-&quot;$&quot;\ * #,##0.00_-;_-&quot;$&quot;\ * &quot;-&quot;??_-;_-@_-"/>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natan Villaneda" refreshedDate="46233.571221527774" createdVersion="8" refreshedVersion="8" minRefreshableVersion="3" recordCount="463" xr:uid="{A1BC743C-B9C6-43F7-A727-13214F914DF6}">
  <cacheSource type="worksheet">
    <worksheetSource name="Data_Caso_Propuesto"/>
  </cacheSource>
  <cacheFields count="16">
    <cacheField name="Codigo" numFmtId="0">
      <sharedItems/>
    </cacheField>
    <cacheField name="Ciudad" numFmtId="0">
      <sharedItems/>
    </cacheField>
    <cacheField name="Departamento" numFmtId="0">
      <sharedItems count="14">
        <s v="VALLE DEL CAUCA"/>
        <s v="CUNDINAMARCA"/>
        <s v="CAUCA"/>
        <s v="BOYACÁ"/>
        <s v="META"/>
        <s v="ANTIOQUIA"/>
        <s v="RISARALDA"/>
        <s v="SANTANDER"/>
        <s v="BOLÍVAR"/>
        <s v="CÓRDOBA"/>
        <s v="CALDAS"/>
        <s v="ATLÁNTICO"/>
        <s v="PUTUMAYO"/>
        <s v="CHOCÓ"/>
      </sharedItems>
    </cacheField>
    <cacheField name="Barrio" numFmtId="0">
      <sharedItems/>
    </cacheField>
    <cacheField name="Direccion" numFmtId="0">
      <sharedItems/>
    </cacheField>
    <cacheField name="Area Terreno" numFmtId="2">
      <sharedItems containsMixedTypes="1" containsNumber="1" minValue="0" maxValue="3217197"/>
    </cacheField>
    <cacheField name="Area Construida" numFmtId="2">
      <sharedItems containsMixedTypes="1" containsNumber="1" minValue="91.47" maxValue="763.06"/>
    </cacheField>
    <cacheField name="Detalle Disponibilidad" numFmtId="0">
      <sharedItems/>
    </cacheField>
    <cacheField name="Estrato" numFmtId="0">
      <sharedItems/>
    </cacheField>
    <cacheField name="Precio" numFmtId="0">
      <sharedItems containsSemiMixedTypes="0" containsString="0" containsNumber="1" containsInteger="1" minValue="4650000" maxValue="45233789820"/>
    </cacheField>
    <cacheField name="Tipo de Inmueble" numFmtId="0">
      <sharedItems count="19">
        <s v="LOTE MIXTO"/>
        <s v="LOTE VIVIENDA"/>
        <s v="LOTE INDUSTRIAL"/>
        <s v="FINCA"/>
        <s v="HOTEL"/>
        <s v="BODEGA"/>
        <s v="CLINICA"/>
        <s v="LOTE COMERCIAL"/>
        <s v="EDIFICIO"/>
        <s v="LOTE CON CONSTRUCCION"/>
        <s v="APARTAMENTO"/>
        <s v="EDIFICIO OFICINAS"/>
        <s v="CASA"/>
        <s v="LOCAL"/>
        <s v="LOTE"/>
        <s v="OFICINA"/>
        <s v="GARAJE"/>
        <s v="DEPOSITO"/>
        <s v="LOTE AGRICOLA"/>
      </sharedItems>
    </cacheField>
    <cacheField name="Datos Adicionales" numFmtId="0">
      <sharedItems/>
    </cacheField>
    <cacheField name="Precio Mil Millones" numFmtId="44">
      <sharedItems containsSemiMixedTypes="0" containsString="0" containsNumber="1" containsInteger="1" minValue="4650000" maxValue="45233789820"/>
    </cacheField>
    <cacheField name="Precio m2 Terreno" numFmtId="44">
      <sharedItems containsMixedTypes="1" containsNumber="1" minValue="1100.0004424408658" maxValue="8318800.8434637608"/>
    </cacheField>
    <cacheField name="Precio m2 Terreno Millones" numFmtId="44">
      <sharedItems containsMixedTypes="1" containsNumber="1" minValue="1.1000004424408657E-3" maxValue="8.3188008434637606"/>
    </cacheField>
    <cacheField name="Precio m2 Terreno Mil Millones" numFmtId="44">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
  <r>
    <s v="12112"/>
    <s v="CALIMA EL DARIEN"/>
    <x v="0"/>
    <s v="VEREDA PALERMO"/>
    <s v="RESERVA FORESTAL LT 1A"/>
    <n v="2187863"/>
    <s v="0"/>
    <s v="COMERCIALIZABLE FIDUCIA"/>
    <s v="RURAL"/>
    <n v="2406650268"/>
    <x v="0"/>
    <s v="CISA VENDE DERECHOS FIDUCIARIOS DEL 9,48%_x000a__x000a_FIDEICOMISO ADMINISTRADO POR ACCION FIDUCIARIA S,A,"/>
    <n v="2406650268"/>
    <n v="1100.0004424408658"/>
    <n v="1.1000004424408657E-3"/>
    <m/>
  </r>
  <r>
    <s v="11335"/>
    <s v="CALI"/>
    <x v="0"/>
    <s v="CIUDADELA CHIPICHAPE"/>
    <s v="LT  B  PARTE DEL PREDIO CHIPICHAPE"/>
    <n v="430399.68"/>
    <s v="0"/>
    <s v="COMERCIALIZABLE FIDUCIA"/>
    <s v="RURAL"/>
    <n v="1667784060"/>
    <x v="1"/>
    <s v="CISA VENDE SOLO LOS DERECHOS FIDUCIARIOS DEL 0,388%,_x000a_FIDEICOMISO ADMINISTRADO POR ACCION FIDUCIARIA S,A,"/>
    <n v="1667784060"/>
    <n v="3874.9658456995135"/>
    <n v="3.8749658456995136E-3"/>
    <m/>
  </r>
  <r>
    <s v="11409"/>
    <s v="BUGA"/>
    <x v="0"/>
    <s v="VEREDA CHAMBIMBAL"/>
    <s v="LT A1-A24 B1-B79 C1-C51 D1-D9 STA ROSA LT1-46 LT  1-7 1-10 1-11 KR 8 -37"/>
    <n v="3217197"/>
    <s v="22724"/>
    <s v="COMERCIALIZABLE FIDUCIA"/>
    <s v="RURAL"/>
    <n v="45233789820"/>
    <x v="0"/>
    <s v=""/>
    <n v="45233789820"/>
    <n v="14060"/>
    <n v="1.406E-2"/>
    <m/>
  </r>
  <r>
    <s v="12120"/>
    <s v="CALIMA EL DARIEN"/>
    <x v="0"/>
    <s v="VEREDA PALERMO"/>
    <s v="LT 2"/>
    <n v="337995"/>
    <s v="0"/>
    <s v="COMERCIALIZABLE FIDUCIA"/>
    <s v="RURAL"/>
    <n v="5171323500"/>
    <x v="1"/>
    <s v="EXCELENTE LOTE CON VISTA AL LAGO CALIMA, UBICADO EN EL EXCLUSIVO POYECTO DE CALIMA RESORT, CERCA A SITIOS DE INTERES COMO EL HOTEL COMFANDI,"/>
    <n v="5171323500"/>
    <n v="15300"/>
    <n v="1.5299999999999999E-2"/>
    <m/>
  </r>
  <r>
    <s v="12114"/>
    <s v="CALIMA EL DARIEN"/>
    <x v="0"/>
    <s v="VEREDA PALERMO"/>
    <s v="LT 1B"/>
    <n v="175982"/>
    <s v="0"/>
    <s v="COMERCIALIZABLE FIDUCIA"/>
    <s v="RURAL"/>
    <n v="2704524600"/>
    <x v="1"/>
    <s v="CISA VENDE DERECHOS FIDUCIARIOS DEL 9,48%_x000a__x000a_FIDEICOMISO ADMINISTRADO POR ACCION FIDUCIARIA S,A,"/>
    <n v="2704524600"/>
    <n v="15368.188792035549"/>
    <n v="1.536818879203555E-2"/>
    <m/>
  </r>
  <r>
    <s v="12121"/>
    <s v="CALIMA EL DARIEN"/>
    <x v="0"/>
    <s v="VEREDA PALERMO"/>
    <s v="LT 3A"/>
    <n v="109627.44"/>
    <s v="0"/>
    <s v="COMERCIALIZABLE FIDUCIA"/>
    <s v="RURAL"/>
    <n v="1754039040"/>
    <x v="1"/>
    <s v="CISA VENDE DERECHOS FIDUCIARIOS DEL 9,48%_x000a__x000a_FIDEICOMISO ADMINISTRADO POR ACCION FIDUCIARIA S,A,"/>
    <n v="1754039040"/>
    <n v="16000"/>
    <n v="1.6E-2"/>
    <m/>
  </r>
  <r>
    <s v="12118"/>
    <s v="CALIMA EL DARIEN"/>
    <x v="0"/>
    <s v="VEREDA PALERMO"/>
    <s v="LT 3B3"/>
    <n v="3073"/>
    <s v="0"/>
    <s v="COMERCIALIZABLE FIDUCIA"/>
    <s v="RURAL"/>
    <n v="49168000"/>
    <x v="1"/>
    <s v="LOTE DE TERRENO QUE HACE PARTE DEL PROYECTO CALIMA RESORT, SECTOR QUE SE CARACTERIZA POR SER UNO DE LOS SITIOS MÁS IMPORTANTES DE INTERÉS AMBIENTAL, PAISAJÍSTICO Y RECREACIONAL DEL VALLE DEL CAUCA,"/>
    <n v="49168000"/>
    <n v="16000"/>
    <n v="1.6E-2"/>
    <m/>
  </r>
  <r>
    <s v="12115"/>
    <s v="CALIMA EL DARIEN"/>
    <x v="0"/>
    <s v="VEREDA PALERMO"/>
    <s v="LT 1C"/>
    <n v="64000"/>
    <s v="700"/>
    <s v="COMERCIALIZABLE FIDUCIA"/>
    <s v="RURAL"/>
    <n v="1042886694"/>
    <x v="1"/>
    <s v="LOTE DE TERRENO QUE HACE PARTE DEL PROYECTO CALIMA RESORT, SECTOR QUE SE CARACTERIZA POR SER UNO DE LOS SITIOS MÁS IMPORTANTES DE INTERÉS AMBIENTAL, PAISAJÍSTICO Y RECREACIONAL DEL VALLE DEL CAUCA,"/>
    <n v="1042886694"/>
    <n v="16295.10459375"/>
    <n v="1.6295104593750002E-2"/>
    <m/>
  </r>
  <r>
    <s v="12116"/>
    <s v="CALIMA EL DARIEN"/>
    <x v="0"/>
    <s v="VEREDA PALERMO"/>
    <s v="LT 3B1"/>
    <n v="131627"/>
    <s v="0"/>
    <s v="COMERCIALIZABLE FIDUCIA"/>
    <s v="RURAL"/>
    <n v="2237659000"/>
    <x v="1"/>
    <s v="CISA VENDE DERECHOS FIDUCIARIOS DEL 9,48%_x000a__x000a_FIDEICOMISO ADMINISTRADO POR ACCION FIDUCIARIA S,A,"/>
    <n v="2237659000"/>
    <n v="17000"/>
    <n v="1.7000000000000001E-2"/>
    <m/>
  </r>
  <r>
    <s v="2669"/>
    <s v="LA CALERA"/>
    <x v="1"/>
    <s v="LA CALERA"/>
    <s v="LOTE 3 PARCELACIÓN LOS CERROS HACIENDA SAN RAFAEL"/>
    <n v="30000"/>
    <s v="0"/>
    <s v="COMERCIALIZABLE CON RESTRICCION"/>
    <s v="RURAL"/>
    <n v="552000000"/>
    <x v="1"/>
    <s v=""/>
    <n v="552000000"/>
    <n v="18400"/>
    <n v="1.84E-2"/>
    <m/>
  </r>
  <r>
    <s v="12119"/>
    <s v="CALIMA EL DARIEN"/>
    <x v="0"/>
    <s v="VEREDA PALERMO"/>
    <s v="LT 3B4"/>
    <n v="37861.33"/>
    <s v="1765"/>
    <s v="COMERCIALIZABLE FIDUCIA"/>
    <s v="RURAL"/>
    <n v="810975010"/>
    <x v="1"/>
    <s v="LOTE DE TERRENO QUE HACE PARTE DEL PROYECTO CALIMA RESORT, SECTOR QUE SE CARACTERIZA POR SER UNO DE LOS SITIOS MÁS IMPORTANTES DE INTERÉS AMBIENTAL, PAISAJÍSTICO Y RECREACIONAL DEL VALLE DEL CAUCA,"/>
    <n v="810975010"/>
    <n v="21419.612306276613"/>
    <n v="2.1419612306276613E-2"/>
    <m/>
  </r>
  <r>
    <s v="12117"/>
    <s v="CALIMA EL DARIEN"/>
    <x v="0"/>
    <s v="VEREDA PALERMO"/>
    <s v="LT 3B2"/>
    <n v="134000"/>
    <n v="763.06"/>
    <s v="COMERCIALIZABLE FIDUCIA"/>
    <s v="RURAL"/>
    <n v="3027404897"/>
    <x v="1"/>
    <s v="CISA VENDE DERECHOS FIDUCIARIOS DEL 9,48%_x000a__x000a_FIDEICOMISO ADMINISTRADO POR ACCION FIDUCIARIA S,A,"/>
    <n v="3027404897"/>
    <n v="22592.573858208954"/>
    <n v="2.2592573858208953E-2"/>
    <m/>
  </r>
  <r>
    <s v="11787"/>
    <s v="SANTANDER DE QUILICHAO"/>
    <x v="2"/>
    <s v="PARQUE IND CAUCADESA"/>
    <s v="LT 8 ET I  PARQUE INDUSTRIAL  CAUCADESA"/>
    <n v="46126"/>
    <s v="0"/>
    <s v="COMERCIALIZABLE CON RESTRICCION"/>
    <s v="RURAL"/>
    <n v="1416213286"/>
    <x v="2"/>
    <s v="LOTE TERRENO NETO , EN PROINDIVISO, SEMI-URBANIZADO, DE CONFIGURACION IRREGULAR UBICADO EN ZONA INDUSTRIAL PROPICIO PARA EL DESARROLLO DE BODEGAS,"/>
    <n v="1416213286"/>
    <n v="30703.145427741405"/>
    <n v="3.0703145427741406E-2"/>
    <m/>
  </r>
  <r>
    <s v="12113"/>
    <s v="CALIMA EL DARIEN"/>
    <x v="0"/>
    <s v="VEREDA PALERMO"/>
    <s v="LT 4"/>
    <n v="71143"/>
    <n v="745.33"/>
    <s v="COMERCIALIZABLE FIDUCIA"/>
    <s v="RURAL"/>
    <n v="2700092084"/>
    <x v="1"/>
    <s v="CISA VENDE DERECHOS FIDUCIARIOS DEL 9,48%_x000a__x000a_FIDEICOMISO ADMINISTRADO POR ACCION FIDUCIARIA S,A,"/>
    <n v="2700092084"/>
    <n v="37953.025371434996"/>
    <n v="3.7953025371434995E-2"/>
    <m/>
  </r>
  <r>
    <s v="5616"/>
    <s v="CHIA"/>
    <x v="1"/>
    <s v="VEREDA FONQUETA"/>
    <s v="FINCA SAN ANTONIO DE LOS VIENTOS - VEREDA FONQUETA CHIA"/>
    <n v="11130"/>
    <s v="570"/>
    <s v="COMERCIALIZABLE CON RESTRICCION"/>
    <s v="TRES"/>
    <n v="2558936000"/>
    <x v="3"/>
    <s v=""/>
    <n v="2558936000"/>
    <n v="229913.38724168914"/>
    <n v="0.22991338724168914"/>
    <m/>
  </r>
  <r>
    <s v="5017"/>
    <s v="RICAURTE"/>
    <x v="1"/>
    <s v="CONDOMINIO CAMPESTRE MONACO"/>
    <s v="LT 1 TAMBACU HO GIRARDOT RESORT"/>
    <n v="25002.63"/>
    <s v="5142"/>
    <s v="COMERCIALIZABLE FIDUCIA"/>
    <s v="COMERCIAL"/>
    <n v="10407336173"/>
    <x v="4"/>
    <s v=""/>
    <n v="10407336173"/>
    <n v="416249.65745603561"/>
    <n v="0.41624965745603559"/>
    <m/>
  </r>
  <r>
    <s v="5117"/>
    <s v="BOGOTA"/>
    <x v="1"/>
    <s v=""/>
    <s v="KR 16B # 59A-03 SUR Ó CL 59B SUR # 13F-10"/>
    <n v="710.64"/>
    <n v="750.64"/>
    <s v="COMERCIALIZABLE CON RESTRICCION"/>
    <s v="INDUSTRIAL"/>
    <n v="1169682630"/>
    <x v="5"/>
    <s v=""/>
    <n v="1169682630"/>
    <n v="1645956.6447146235"/>
    <n v="1.6459566447146234"/>
    <m/>
  </r>
  <r>
    <s v="2575"/>
    <s v="SOGAMOSO"/>
    <x v="3"/>
    <s v="CENTRO"/>
    <s v="CRA, 10 #11- 78/80 Ó CL 12 # 9 - 77/85 Ó CALLE 12 # 9 - 65/73 - SOGAMOSO"/>
    <n v="1655.08"/>
    <s v="7269"/>
    <s v="COMERCIALIZABLE CON RESTRICCION"/>
    <s v="CUATRO"/>
    <n v="13768280900"/>
    <x v="6"/>
    <s v="ESTE INMUEBLE SE COMERCIALIZARÁ A TRAVÉS DE SUBASTA PÚBLICA"/>
    <n v="13768280900"/>
    <n v="8318800.8434637608"/>
    <n v="8.3188008434637606"/>
    <m/>
  </r>
  <r>
    <s v="17180"/>
    <s v="BOGOTA"/>
    <x v="1"/>
    <s v=""/>
    <s v="AV CR 7 NO, 166 - 51 LT B"/>
    <n v="0"/>
    <s v="0"/>
    <s v="COMERCIALIZABLE CON RESTRICCION"/>
    <s v="TRES"/>
    <n v="29580811900"/>
    <x v="7"/>
    <s v="ESTE INMUEBLE SE COMERCIALIZARÁ A TRAVES DE SUBASTA ESPECIAL"/>
    <n v="29580811900"/>
    <s v=""/>
    <s v=""/>
    <m/>
  </r>
  <r>
    <s v="19292"/>
    <s v="BOGOTA"/>
    <x v="1"/>
    <s v=""/>
    <s v="CL 72 No, 12 - 77"/>
    <s v="0"/>
    <s v="0"/>
    <s v="COMERCIALIZABLE"/>
    <s v="COMERCIAL"/>
    <n v="16460591500"/>
    <x v="8"/>
    <s v=""/>
    <n v="16460591500"/>
    <s v=""/>
    <s v=""/>
    <m/>
  </r>
  <r>
    <s v="19292"/>
    <s v="BOGOTA"/>
    <x v="1"/>
    <s v=""/>
    <s v="CL 72 No, 12 - 77"/>
    <s v="0"/>
    <s v="0"/>
    <s v="COMERCIALIZABLE VENTA ANTICIPADA"/>
    <s v="COMERCIAL"/>
    <n v="16460591500"/>
    <x v="8"/>
    <s v=""/>
    <n v="16460591500"/>
    <s v=""/>
    <s v=""/>
    <m/>
  </r>
  <r>
    <s v="17120"/>
    <s v="PUERTO LOPEZ"/>
    <x v="4"/>
    <s v=""/>
    <s v="CLL, 9 N° 5-76 Y KR, 5A N° 9-44"/>
    <s v="0"/>
    <s v="0"/>
    <s v="COMERCIALIZABLE"/>
    <s v="TRES"/>
    <n v="4190155021"/>
    <x v="9"/>
    <s v="LOTE DE TERRENO URBANO QUE CUENTA CON CONSTRUCCIONES TIPO BODEGA DE ALMACENAMIENTO, OFICINAS Y CASA, EL INMUEBLE SE ENCUENTRA UBICADO EN LA ESQUINA NOROCCIDENTAL DE LA INTERSECCION DE LA CRA 5 Y LA CALLE 9, ENFRENTE DEL HOSPITAL"/>
    <n v="4190155021"/>
    <s v=""/>
    <s v=""/>
    <m/>
  </r>
  <r>
    <s v="19340"/>
    <s v="TARAZA"/>
    <x v="5"/>
    <s v=""/>
    <s v="LETICIA 23 URUGUAY - PIEDRA BRAVA (CULTIVO CAUCHO)"/>
    <s v="0"/>
    <s v="0"/>
    <s v="COMERCIALIZABLE TERCEROS"/>
    <s v="RURAL"/>
    <n v="3109306614"/>
    <x v="9"/>
    <s v="INMUEBLE UBICADO EN EL CORREGIMIENTO DE LA CAUCANA, VEREDA PIEDRA BRAVA DEL MUNICIPIO DE TARAZÁ, LOTE DE TERRENO RURAL AGROPECUARIO, CON CULTIVO DE CAUCHO EL INMUEBLE SE ENCUENTRA CLASIFICADO DENTRO DEL SUELO RURAL DEL MUNICIPIO, EN ZONA DE INCENTIVO"/>
    <n v="3109306614"/>
    <s v=""/>
    <s v=""/>
    <m/>
  </r>
  <r>
    <s v="17865"/>
    <s v="FUNZA"/>
    <x v="1"/>
    <s v=""/>
    <s v="CALLE 15 No, 1-70"/>
    <s v="0"/>
    <s v="0"/>
    <s v="COMERCIALIZABLE CON RESTRICCION"/>
    <s v="INDUSTRIAL"/>
    <n v="2100890600"/>
    <x v="5"/>
    <s v=""/>
    <n v="2100890600"/>
    <s v=""/>
    <s v=""/>
    <m/>
  </r>
  <r>
    <s v="19304"/>
    <s v="BOGOTA"/>
    <x v="1"/>
    <s v=""/>
    <s v="Av, 15 No, 127 B 78 Apto, 1201 - Edificio Mirador del Country"/>
    <s v="0"/>
    <s v="0"/>
    <s v="COMERCIALIZABLE TERCEROS"/>
    <s v="SEIS"/>
    <n v="2042687988"/>
    <x v="10"/>
    <s v=""/>
    <n v="2042687988"/>
    <s v=""/>
    <s v=""/>
    <m/>
  </r>
  <r>
    <s v="18980"/>
    <s v="ENVIGADO"/>
    <x v="5"/>
    <s v=""/>
    <s v="VEREDA PANTANILLO - CONDOMINIO CAMPESTRE PH - LOTE No, 9"/>
    <s v="0"/>
    <s v="0"/>
    <s v="COMERCIALIZABLE TERCEROS"/>
    <s v="RURAL"/>
    <n v="2041211340"/>
    <x v="1"/>
    <s v="¡GRAN OPORTUNIDAD!, LOTE UBICADO EN EL CONDOMINIO CASA CAMPESTRE, CON EXCELENTE UBICACIÓN Y ÁREA, INMUEBLE PROPIEDAD UARIV"/>
    <n v="2041211340"/>
    <s v=""/>
    <s v=""/>
    <m/>
  </r>
  <r>
    <s v="18998"/>
    <s v="PEREIRA"/>
    <x v="6"/>
    <s v=""/>
    <s v="SECTOR MARACAY A 1,5 KM VIA A CERRITOS FINCA EL TEJAR LOTE 32"/>
    <s v="0"/>
    <s v="0"/>
    <s v="COMERCIALIZABLE VENTA ANTICIPADA"/>
    <s v="CINCO"/>
    <n v="1946238900"/>
    <x v="3"/>
    <s v=""/>
    <n v="1946238900"/>
    <s v=""/>
    <s v=""/>
    <m/>
  </r>
  <r>
    <s v="19188"/>
    <s v="BUCARAMANGA"/>
    <x v="7"/>
    <s v=""/>
    <s v="CARRERA 19  No, 102-40"/>
    <s v="0"/>
    <s v="0"/>
    <s v="EN PUJA"/>
    <s v="CUATRO"/>
    <n v="1935725000"/>
    <x v="11"/>
    <s v=""/>
    <n v="1935725000"/>
    <s v=""/>
    <s v=""/>
    <m/>
  </r>
  <r>
    <s v="19143"/>
    <s v="CALI"/>
    <x v="0"/>
    <s v=""/>
    <s v="Carrera 7 No, 50-35 ENER 22 Bodega de Alta Tensión"/>
    <s v="0"/>
    <s v="0"/>
    <s v="COMERCIALIZABLE TERCEROS"/>
    <s v="DOS"/>
    <n v="1802514500"/>
    <x v="5"/>
    <s v="ESTE INMUEBLE ES PROPIEDAD DE EMCALI"/>
    <n v="1802514500"/>
    <s v=""/>
    <s v=""/>
    <m/>
  </r>
  <r>
    <s v="19201"/>
    <s v="MEDELLIN"/>
    <x v="5"/>
    <s v=""/>
    <s v="Calle 4 No, 18-55 Apto, 1506 - Torre 1 - Balcones de la Calera"/>
    <s v="0"/>
    <s v="0"/>
    <s v="COMERCIALIZABLE TERCEROS"/>
    <s v="SEIS"/>
    <n v="1190905320"/>
    <x v="10"/>
    <s v="¡EXCELENTE OPORTUNIDAD! APARTAMENTO UBICADO EN EL POBLADO UNIDAD RESIDENCIAL BALCONES DE LA CALERA, ÁREA 241,80 M2, APARTAMENTO CON  3 HABITACIONES CON BAÑO Y CLOSET, ALCOBA PRINCIPAL BAÑO Y VESTIER, COMEDOR, SALA ESTAR, CUARTO Y BAÑO DE SERVICIO, CU"/>
    <n v="1190905320"/>
    <s v=""/>
    <s v=""/>
    <m/>
  </r>
  <r>
    <s v="19331"/>
    <s v="VILLAVICENCIO"/>
    <x v="4"/>
    <s v=""/>
    <s v="Calle 34 No, 41 - 31"/>
    <s v="0"/>
    <s v="0"/>
    <s v="COMERCIALIZABLE VENTA ANTICIPADA"/>
    <s v="CINCO"/>
    <n v="1040013730"/>
    <x v="12"/>
    <s v=""/>
    <n v="1040013730"/>
    <s v=""/>
    <s v=""/>
    <m/>
  </r>
  <r>
    <s v="17648"/>
    <s v="BOGOTA"/>
    <x v="1"/>
    <s v=""/>
    <s v="CALLE 82 NO 19A 14"/>
    <s v="0"/>
    <s v="0"/>
    <s v="COMERCIALIZABLE CON RESTRICCION"/>
    <s v="CINCO"/>
    <n v="4747362800"/>
    <x v="12"/>
    <s v=""/>
    <n v="4747362800"/>
    <s v=""/>
    <s v=""/>
    <m/>
  </r>
  <r>
    <s v="17745"/>
    <s v="BOGOTA"/>
    <x v="1"/>
    <s v=""/>
    <s v="CALLE 22D NO, 120-19  -FONTIBÓN"/>
    <s v="0"/>
    <s v="0"/>
    <s v="COMERCIALIZABLE CON RESTRICCION"/>
    <s v="INDUSTRIAL"/>
    <n v="25416536260"/>
    <x v="5"/>
    <s v=""/>
    <n v="25416536260"/>
    <s v=""/>
    <s v=""/>
    <m/>
  </r>
  <r>
    <s v="17392"/>
    <s v="BOGOTA"/>
    <x v="1"/>
    <s v=""/>
    <s v="KR 10A 22A 18 SUR - SOSIEGO - SECTOR FUCHA- MZ B-B/36 LT 35"/>
    <s v="0"/>
    <s v="0"/>
    <s v="COMERCIALIZABLE CON RESTRICCION"/>
    <s v="TRES"/>
    <n v="866644750"/>
    <x v="12"/>
    <s v=""/>
    <n v="866644750"/>
    <s v=""/>
    <s v=""/>
    <m/>
  </r>
  <r>
    <s v="19286"/>
    <s v="BOGOTA"/>
    <x v="1"/>
    <s v=""/>
    <s v="CL 19 13A 12 LOCAL 01"/>
    <s v="0"/>
    <s v="0"/>
    <s v="COMERCIALIZABLE VENTA ANTICIPADA"/>
    <s v="COMERCIAL"/>
    <n v="784336820"/>
    <x v="13"/>
    <s v=""/>
    <n v="784336820"/>
    <s v=""/>
    <s v=""/>
    <m/>
  </r>
  <r>
    <s v="17394"/>
    <s v="BOGOTA"/>
    <x v="1"/>
    <s v=""/>
    <s v="KR 10A-22 S 36"/>
    <s v="0"/>
    <s v="0"/>
    <s v="COMERCIALIZABLE CON RESTRICCION"/>
    <s v="TRES"/>
    <n v="713410050"/>
    <x v="12"/>
    <s v=""/>
    <n v="713410050"/>
    <s v=""/>
    <s v=""/>
    <m/>
  </r>
  <r>
    <s v="19285"/>
    <s v="BOGOTA"/>
    <x v="1"/>
    <s v=""/>
    <s v="CL 19 13A 12 LOCAL"/>
    <s v="0"/>
    <s v="0"/>
    <s v="COMERCIALIZABLE VENTA ANTICIPADA"/>
    <s v="COMERCIAL"/>
    <n v="697548450"/>
    <x v="13"/>
    <s v=""/>
    <n v="697548450"/>
    <s v=""/>
    <s v=""/>
    <m/>
  </r>
  <r>
    <s v="19332"/>
    <s v="LA CEJA"/>
    <x v="5"/>
    <s v=""/>
    <s v="LOTE (1) PA QUE MAS - VEREDA NICOLAS"/>
    <s v="0"/>
    <s v="0"/>
    <s v="COMERCIALIZABLE TERCEROS"/>
    <s v="RURAL"/>
    <n v="693405250"/>
    <x v="9"/>
    <s v="LOTE CON CONSTRUCCION DE DOS NIVELES TIPO CAMPESTRE CON ÁREA DE  482 MS APROX, Y UN ÁREA DE TERRENO DE 2,617 M2 APROXIMADOS EN MUNICIPIO LA CEJA VERDEA SAN NICOLAS,"/>
    <n v="693405250"/>
    <s v=""/>
    <s v=""/>
    <m/>
  </r>
  <r>
    <s v="18976"/>
    <s v="CARTAGENA"/>
    <x v="8"/>
    <s v=""/>
    <s v="LOTE No, 13 SEGREGADO DEL DENOMINADO GRACIAS A DIOS"/>
    <s v="0"/>
    <s v="0"/>
    <s v="COMERCIALIZABLE"/>
    <s v="RURAL"/>
    <n v="4527473614"/>
    <x v="2"/>
    <s v="OPORTUNIDAD DE INVERTIR EN EXCELENTE PREDIO UBICADO SOBRE LA VÍA A MAMONAL, IMPORTANTE SECTOR INDUSTRIAL Y LOGÍSTICO DE CARTAGENA,"/>
    <n v="4527473614"/>
    <s v=""/>
    <s v=""/>
    <m/>
  </r>
  <r>
    <s v="19335"/>
    <s v="TARAZA"/>
    <x v="5"/>
    <s v=""/>
    <s v="LETICIA 22 - PIEDRA BRAVA (CULTIVO DE CAUCHO)"/>
    <s v="0"/>
    <s v="0"/>
    <s v="COMERCIALIZABLE TERCEROS"/>
    <s v="RURAL"/>
    <n v="616860411"/>
    <x v="9"/>
    <s v="LOTE UBICADO EN EL CORREGIMIENTO DE LA CAUCANA, VEREDA PIEDRA BRAVA DEL MUNICIPIO DE TARAZÁ, LOTE DE TERRENO CON UN ÁREA DESTINADA A CULTIVO DE CAUCHO NO CUENTA CON CONSTRUCCIONES,"/>
    <n v="616860411"/>
    <s v=""/>
    <s v=""/>
    <m/>
  </r>
  <r>
    <s v="19342"/>
    <s v="TARAZA"/>
    <x v="5"/>
    <s v=""/>
    <s v="MONTEPIO 1 VEREDA QUINTERÓN (CULTIVO CAUCHO)"/>
    <s v="0"/>
    <s v="0"/>
    <s v="COMERCIALIZABLE TERCEROS"/>
    <s v="RURAL"/>
    <n v="610203893"/>
    <x v="9"/>
    <s v="INMUEBLE RURAL UBICADO EN TARAZA ANTIOQUIA DESTINADO A CULTIVO DE CAUCHO CON UNA CONSTRUCCIÓN CON DESTINACIÓN ACTUAL DE ALMACENAMIENTO ADEMÁS CUENTA CON CERCA VIVA DE ÁRBOLES DE TECA,"/>
    <n v="610203893"/>
    <s v=""/>
    <s v=""/>
    <m/>
  </r>
  <r>
    <s v="19343"/>
    <s v="TARAZA"/>
    <x v="5"/>
    <s v=""/>
    <s v="MONTEPIO 2 VEREDA QUINTERÓN (CULTIVO CAUCHO)"/>
    <s v="0"/>
    <s v="0"/>
    <s v="COMERCIALIZABLE TERCEROS"/>
    <s v="RURAL"/>
    <n v="591399414"/>
    <x v="9"/>
    <s v="SE ENCUENTRA UBICADO EN EL CORREGIMIENTO DE LA CAUCANA, VEREDA QUINTERÓN DEL MUNICIPIO DE TARAZÁ, ACTUALMENTE LOTE DE TERRENO DESTINADA A CULTIVO DE CAUCHO, EL INMUEBLE SE ENCUENTRA CLASIFICADO DENTRO DEL SUELO RURAL DEL MUNICIPIO, EN ZONA DE INCENTI"/>
    <n v="591399414"/>
    <s v=""/>
    <s v=""/>
    <m/>
  </r>
  <r>
    <s v="19344"/>
    <s v="TARAZA"/>
    <x v="5"/>
    <s v=""/>
    <s v="MONTEPIO 3 VEREDA QUINTERÓN (CULTIVO CAUCHO)"/>
    <s v="0"/>
    <s v="0"/>
    <s v="COMERCIALIZABLE TERCEROS"/>
    <s v="RURAL"/>
    <n v="589300353"/>
    <x v="9"/>
    <s v="SE ENCUENTRA UBICADO EN EL CORREGIMIENTO DE LA CAUCANA, VEREDA QUINTERÓN DEL MUNICIPIO DE TARAZÁ, ACTUALMENTE LOTE DE TERRENO DESTINADA A CULTIVO DE CAUCHO, EL INMUEBLE SE ENCUENTRA CLASIFICADO DENTRO DEL SUELO RURAL DEL MUNICIPIO, EN ZONA DE INCENTI"/>
    <n v="589300353"/>
    <s v=""/>
    <s v=""/>
    <m/>
  </r>
  <r>
    <s v="19193"/>
    <s v="CAUCASIA"/>
    <x v="5"/>
    <s v=""/>
    <s v="Lote El Triángulo - Cra, 26 con Calle 15"/>
    <s v="0"/>
    <s v="0"/>
    <s v="COMERCIALIZABLE TERCEROS"/>
    <s v="TRES"/>
    <n v="552796000"/>
    <x v="14"/>
    <s v="LOTE DE TERRENO DE 4,892 M2, UBICADO EN CARRERA 26 CON CALLE 15, ACTUALMENTE SE ENCUENTRA ADECUADO PARA EL FUNCIONAMIENTO DE UNA CANCHA DE FÚTBOL,"/>
    <n v="552796000"/>
    <s v=""/>
    <s v=""/>
    <m/>
  </r>
  <r>
    <s v="19192"/>
    <s v="PUERTO BOYACA"/>
    <x v="3"/>
    <s v=""/>
    <s v="Carrera 6 No, 3 Bis 62"/>
    <s v="0"/>
    <s v="0"/>
    <s v="COMERCIALIZABLE TERCEROS"/>
    <s v="DOS"/>
    <n v="550361250"/>
    <x v="12"/>
    <s v=""/>
    <n v="550361250"/>
    <s v=""/>
    <s v=""/>
    <m/>
  </r>
  <r>
    <s v="19181"/>
    <s v="MONTERIA"/>
    <x v="9"/>
    <s v=""/>
    <s v="CALLE 64 NO, 8 A 53 - BARRIO LA CASTELLANA"/>
    <s v="0"/>
    <s v="0"/>
    <s v="COMERCIALIZABLE TERCEROS"/>
    <s v="CINCO"/>
    <n v="535670500"/>
    <x v="12"/>
    <s v=""/>
    <n v="535670500"/>
    <s v=""/>
    <s v=""/>
    <m/>
  </r>
  <r>
    <s v="19006"/>
    <s v="MONTERIA"/>
    <x v="9"/>
    <s v=""/>
    <s v="CALLE 59 NO, 10 A 48 - BRR, LA CASTELLANA"/>
    <s v="0"/>
    <s v="0"/>
    <s v="COMERCIALIZABLE TERCEROS"/>
    <s v="CUATRO"/>
    <n v="514454000"/>
    <x v="12"/>
    <s v="INMUEBLE PROPIEDAD DE LA UNIDAD DE REPARACIÓN DE VÍCTIMAS - UARIV"/>
    <n v="514454000"/>
    <s v=""/>
    <s v=""/>
    <m/>
  </r>
  <r>
    <s v="19202"/>
    <s v="TURBO"/>
    <x v="5"/>
    <s v=""/>
    <s v="Cra, 13 No, 102-23 - Buenos Aires"/>
    <s v="0"/>
    <s v="0"/>
    <s v="COMERCIALIZABLE TERCEROS"/>
    <s v="TRES"/>
    <n v="513681000"/>
    <x v="5"/>
    <s v="¡GRAN OPORTUNIDAD DE INVERSIÓN!, BODEGA UBICADA EN TURBO BARRIO BUENOS AIRES, SECTOR CENTRAL DE ACTIVIDAD COMERCIAL SE ENCUENTRA CERCA A  CENTRO COMERCIAL SAN DIEGO, CONCEJO MUNICIPAL, IGLESIA NUESTRA SEÑORA DEL CARMEN, EMBARCADERO Y PARQUE DE TURBO,"/>
    <n v="513681000"/>
    <s v=""/>
    <s v=""/>
    <m/>
  </r>
  <r>
    <s v="19303"/>
    <s v="BOGOTA"/>
    <x v="1"/>
    <s v=""/>
    <s v="Carrera 10 No, 19-79 Ofc, 905 - CAMACOL"/>
    <s v="0"/>
    <s v="0"/>
    <s v="COMERCIALIZABLE TERCEROS"/>
    <s v="TRES"/>
    <n v="503871960"/>
    <x v="15"/>
    <s v=""/>
    <n v="503871960"/>
    <s v=""/>
    <s v=""/>
    <m/>
  </r>
  <r>
    <s v="18640"/>
    <s v="LA DORADA"/>
    <x v="10"/>
    <s v=""/>
    <s v="INMUEBLE DENOMINADO MORROCOYAL"/>
    <s v="0"/>
    <s v="0"/>
    <s v="COMERCIALIZABLE CON RESTRICCION"/>
    <s v="COMERCIAL"/>
    <n v="19522132996"/>
    <x v="3"/>
    <s v="LOTE UBICADO EN SECTOR FERIAS VIEJAS DE LS DORADA CALDAS, CUENTA CON VARIAS CONSTRUCCIONES COMO PORTERÍA, BASCULA, AREA DE JUEGOS INFANTILES Y DOS CASAS UNA DE ELLA USADA COMO ALMACENAMIENTO"/>
    <n v="19522132996"/>
    <s v=""/>
    <s v=""/>
    <m/>
  </r>
  <r>
    <s v="19287"/>
    <s v="BOGOTA"/>
    <x v="1"/>
    <s v=""/>
    <s v="CL 19 13A 12 LOCAL 104"/>
    <s v="0"/>
    <s v="0"/>
    <s v="COMERCIALIZABLE VENTA ANTICIPADA"/>
    <s v="COMERCIAL"/>
    <n v="466226810"/>
    <x v="13"/>
    <s v=""/>
    <n v="466226810"/>
    <s v=""/>
    <s v=""/>
    <m/>
  </r>
  <r>
    <s v="17345"/>
    <s v="PEREIRA"/>
    <x v="6"/>
    <s v="AV 30 DE AGOSTO"/>
    <s v="CLL 69 O ACEESO A CUBA AV,  30 DE AGOSTO LOTE 2"/>
    <s v="0"/>
    <s v="0"/>
    <s v="COMERCIALIZABLE CON RESTRICCION"/>
    <s v="CUATRO"/>
    <n v="4546891164"/>
    <x v="1"/>
    <s v=""/>
    <n v="4546891164"/>
    <s v=""/>
    <s v=""/>
    <m/>
  </r>
  <r>
    <s v="18983"/>
    <s v="PUERTO BOYACA"/>
    <x v="3"/>
    <s v=""/>
    <s v="CRA, 5 No, 15 - 40"/>
    <s v="0"/>
    <s v="0"/>
    <s v="COMERCIALIZABLE TERCEROS"/>
    <s v="TRES"/>
    <n v="453180000"/>
    <x v="12"/>
    <s v="INMUEBLE PROPIEDAD DE LA UNIDAD PARA LAS VÍCTIMAS - INICIA RECEPCIÓN DE OFERTAS,"/>
    <n v="453180000"/>
    <s v=""/>
    <s v=""/>
    <m/>
  </r>
  <r>
    <s v="18831"/>
    <s v="EL PLAYON"/>
    <x v="7"/>
    <s v=""/>
    <s v="CR, 5 # 12-47 LT 19 MZ K URB, EL REFUGIO"/>
    <s v="0"/>
    <s v="0"/>
    <s v="COMERCIALIZABLE CON RESTRICCION"/>
    <s v="TRES"/>
    <n v="447827419"/>
    <x v="1"/>
    <s v="CISA COMERCIALIZA EL LOTE DE TERRENO SIN LAS MEJORAS EN EL LEVANTADAS,"/>
    <n v="447827419"/>
    <s v=""/>
    <s v=""/>
    <m/>
  </r>
  <r>
    <s v="17797"/>
    <s v="BOGOTA"/>
    <x v="1"/>
    <s v=""/>
    <s v="CR 70 No, 49-77"/>
    <s v="0"/>
    <s v="0"/>
    <s v="COMERCIALIZABLE CON RESTRICCION"/>
    <s v="CUATRO"/>
    <n v="1448241600"/>
    <x v="12"/>
    <s v=""/>
    <n v="1448241600"/>
    <s v=""/>
    <s v=""/>
    <m/>
  </r>
  <r>
    <s v="10106"/>
    <s v="BARRANQUILLA"/>
    <x v="11"/>
    <s v="CENTRO"/>
    <s v="CALLE 39 NO 43 58 62 LC 1"/>
    <s v="0"/>
    <s v="0"/>
    <s v="COMERCIALIZABLE CON RESTRICCION"/>
    <s v="DOS"/>
    <n v="730379000"/>
    <x v="13"/>
    <s v="DESEAS INVERTIR ESTA ES LA OPORTUNIDAD LOCAL EN EL CENTRO DE LA CIUDAD CON UN ÁREA DE 247 METROS"/>
    <n v="730379000"/>
    <s v=""/>
    <s v=""/>
    <m/>
  </r>
  <r>
    <s v="19194"/>
    <s v="BUENAVISTA"/>
    <x v="9"/>
    <s v=""/>
    <s v="Finca Nuevo Pensar - Hoy La Cabaña"/>
    <s v="0"/>
    <s v="0"/>
    <s v="COMERCIALIZABLE TERCEROS"/>
    <s v="RURAL"/>
    <n v="404780000"/>
    <x v="3"/>
    <s v="FINCA EN BUENA VISTA CORDOBA CORREGIMIENTO BELEN, VEREDA TIERRA SANTA CUENTA CON UN  ÁREA DE  370,000 M2 CUYA VOCACION ACTUAL ES AGROPECUARIO,"/>
    <n v="404780000"/>
    <s v=""/>
    <s v=""/>
    <m/>
  </r>
  <r>
    <s v="19196"/>
    <s v="MONTERIA"/>
    <x v="9"/>
    <s v=""/>
    <s v="Parcela 7 Damasco - Vereda Guasimal"/>
    <s v="0"/>
    <s v="0"/>
    <s v="COMERCIALIZABLE TERCEROS"/>
    <s v="RURAL"/>
    <n v="392665000"/>
    <x v="3"/>
    <s v="INMUEBLE RURAL DE 35 HA UBICADA EN PARCELA 7 DAMASCO VEREDA GUASIMAL MUNICIPIO DE VALENCIA DEPARTAMENTO DE CÓRDOBA ,LOTE DE TERRENO CON DESTINACIÓN GANADERA"/>
    <n v="392665000"/>
    <s v=""/>
    <s v=""/>
    <m/>
  </r>
  <r>
    <s v="19333"/>
    <s v="SONSON"/>
    <x v="5"/>
    <s v=""/>
    <s v="BUENOS AIRES - VEREDA LA MESA"/>
    <s v="0"/>
    <s v="0"/>
    <s v="COMERCIALIZABLE TERCEROS"/>
    <s v="RURAL"/>
    <n v="389433000"/>
    <x v="9"/>
    <s v="INMUEBLE RURAL DESTINADO A VIVIENDA, CUENTA CON CASA PRINCIPAL, PISCINA Y ZONA DURA, PESEBRERA  UBICADO EN VEREDA LA MESA MUNICIPIO DE SONSON"/>
    <n v="389433000"/>
    <s v=""/>
    <s v=""/>
    <m/>
  </r>
  <r>
    <s v="17653"/>
    <s v="SOATA"/>
    <x v="3"/>
    <s v=""/>
    <s v="CL 11  No, 4-45/47/49/53"/>
    <s v="0"/>
    <s v="0"/>
    <s v="COMERCIALIZABLE CON RESTRICCION"/>
    <s v="COMERCIAL"/>
    <n v="682988850"/>
    <x v="8"/>
    <s v=""/>
    <n v="682988850"/>
    <s v=""/>
    <s v=""/>
    <m/>
  </r>
  <r>
    <s v="19300"/>
    <s v="MEDELLIN"/>
    <x v="5"/>
    <s v=""/>
    <s v="Cra 43B No, 16 - 95 Edificio Cámara Colombiana de la Infraestructura, Of 0203"/>
    <s v="0"/>
    <s v="0"/>
    <s v="EN PUJA"/>
    <s v="COMERCIAL"/>
    <n v="691426800"/>
    <x v="15"/>
    <s v="OFICINA UBICADA EDIFICIO CÁMARA COLOMBIA DE LA INFRAESTRUCTURA, PORCENTAJE DE PROPIEDAD 43,45% CUENTA CON UN ÁREA DE 98,55 M2,LOCALIZADO EN UN  RECONOCIDO SECTOR DEL POBLADO, EL CUAL CUENTA CON IMPORTANTES VÍAS DE ACCESO Y UBICACIÓN ESTRATÉGICA COMER"/>
    <n v="691426800"/>
    <s v=""/>
    <s v=""/>
    <m/>
  </r>
  <r>
    <s v="19206"/>
    <s v="MEDELLIN"/>
    <x v="5"/>
    <s v=""/>
    <s v="CL 49B  No, 64B-54  ED SAN PABLO  OF 207"/>
    <s v="0"/>
    <s v="0"/>
    <s v="COMERCIALIZABLE VENTA ANTICIPADA"/>
    <s v="CINCO"/>
    <n v="268847500"/>
    <x v="15"/>
    <s v="¡GRAN OPORTUNIDAD! OFICINA UBICADA EN EL EDIFICIO SAN PABLO EN EL BARRIO SURAMERICANA, LA OFICINA  SE DISTRIBUYE DE LA SIGUIENTE MANERA: ACCESO, RECEPCIÓN, OFICINA EN UN SOLO AMBIENTE, DEPOSITO, BAÑO Y COCINA CON UN ÁREA DE 78 M2,"/>
    <n v="268847500"/>
    <s v=""/>
    <s v=""/>
    <m/>
  </r>
  <r>
    <s v="19001"/>
    <s v="PUERTO BOYACA"/>
    <x v="3"/>
    <s v=""/>
    <s v="CR 6 NO, 15-15"/>
    <s v="0"/>
    <s v="0"/>
    <s v="COMERCIALIZABLE TERCEROS"/>
    <s v="UNO"/>
    <n v="268574800"/>
    <x v="12"/>
    <s v="INMUEBLE PROPIEDAD DE LA UNIDAD DE REPARACIÓN DE VÍCTIMAS - UARIV"/>
    <n v="268574800"/>
    <s v=""/>
    <s v=""/>
    <m/>
  </r>
  <r>
    <s v="17993"/>
    <s v="BOGOTA"/>
    <x v="1"/>
    <s v=""/>
    <s v="AV, 13 # 108-28/48 APARTASUITE 503, ED, LANCASTER HOUSE P,H,"/>
    <s v="0"/>
    <s v="0"/>
    <s v="COMERCIALIZABLE CON RESTRICCION"/>
    <s v="SEIS"/>
    <n v="428457000"/>
    <x v="10"/>
    <s v="EL EDIFICIO LANCASTER HOUSE PH, DEL QUE HACE PARTE EL APARTA SUITE EN ESTUDIO, ESTÁ UBICADO EN EL COSTADO ORIENTAL DE LA AVENIDA CARRERA 45 (PARALELA ORIENTAL DE LA AUTOPISTA NORTE, ANTES DENOMINADA AVENIDA 13), ENTRE LAS CALLES 106 B Y 107, BARRIO S"/>
    <n v="428457000"/>
    <s v=""/>
    <s v=""/>
    <m/>
  </r>
  <r>
    <s v="19197"/>
    <s v="MONTERIA"/>
    <x v="9"/>
    <s v=""/>
    <s v="Parcela 5 Damasco - Vereda Guasimal"/>
    <s v="0"/>
    <s v="0"/>
    <s v="COMERCIALIZABLE TERCEROS"/>
    <s v="RURAL"/>
    <n v="264330000"/>
    <x v="3"/>
    <s v="INMUEBLE RURAL, LOTE DE TERRENO PARCELA #5 DAMASCO VEREDA GUASIMAL MONTERIA - CÓRDOBA CON DESTINACION AGROPECUARIO"/>
    <n v="264330000"/>
    <s v=""/>
    <s v=""/>
    <m/>
  </r>
  <r>
    <s v="19205"/>
    <s v="MEDELLIN"/>
    <x v="5"/>
    <s v=""/>
    <s v="CL 49B  No, 64B-54  ED SAN PABLO  OF 302"/>
    <s v="0"/>
    <s v="0"/>
    <s v="COMERCIALIZABLE VENTA ANTICIPADA"/>
    <s v="CINCO"/>
    <n v="253872000"/>
    <x v="15"/>
    <s v="¡GRAN OPORTUNIDAD! OFICINA UBICADA EN EL EDIFICIO SAN PABLO EN EL BARRIO SURAMERICANA, LA OFICINA  SE DISTRIBUYE DE LA SIGUIENTE MANERA: ACCESO, RECEPCIÓN, OFICINA EN UN SOLO AMBIENTE, DEPOSITO, BAÑO Y COCINA CON UN ÁREA DE 72 M2"/>
    <n v="253872000"/>
    <s v=""/>
    <s v=""/>
    <m/>
  </r>
  <r>
    <s v="13270"/>
    <s v="MANIZALES"/>
    <x v="10"/>
    <s v="EL CENTRO"/>
    <s v="KR 22 # 29-31 LC S-8 CENTRO COMERCIAL PARQUE CALDAS"/>
    <s v="0"/>
    <n v="91.47"/>
    <s v="COMERCIALIZABLE CON RESTRICCION"/>
    <s v="COMERCIAL"/>
    <n v="837590790"/>
    <x v="13"/>
    <s v="LOCAL UBICADO EN EL CENTRO COMERCIAL PARQUE CALDAS- MANIZALES , PORCENTAJE DE PROPIEDAD DEL 28,4016%, CON ÁREA PRIVADA DE 91,47MT2,"/>
    <n v="837590790"/>
    <s v=""/>
    <s v=""/>
    <m/>
  </r>
  <r>
    <s v="19341"/>
    <s v="TARAZA"/>
    <x v="5"/>
    <s v=""/>
    <s v="FINCA LA LUNA AVICOLA SAN JUAN (CULTIVO CAUCHO)"/>
    <s v="0"/>
    <s v="0"/>
    <s v="COMERCIALIZABLE TERCEROS"/>
    <s v="RURAL"/>
    <n v="230611914"/>
    <x v="9"/>
    <s v="LOTE DE 15 HECATRAEAS CON CULTIVO DE CAUCHO UBICADO EN TARZA ANTIOQUIA VEREDA LA PRIMAVERA, ADICIONALMENTE CUENTA CON UNA CONSTRUCCION CON USO ACTUAL DE ALMACENAMIENTO,"/>
    <n v="230611914"/>
    <s v=""/>
    <s v=""/>
    <m/>
  </r>
  <r>
    <s v="19161"/>
    <s v="SONSON"/>
    <x v="5"/>
    <s v=""/>
    <s v="CRA, 1 No, 31-57/63 - CORREGIMIENTO SAN MIGUEL"/>
    <s v="0"/>
    <s v="0"/>
    <s v="COMERCIALIZABLE TERCEROS"/>
    <s v="UNO"/>
    <n v="228904300"/>
    <x v="12"/>
    <s v="CASA UBICADA EN EL CENTRO DE LA INSPECCION MUNICIPAL DE SAN MIGUEL, CON ÁREA DE 296 M2, DISTRIBUIDOS ASI: SALA COMEDOR BAÑO SOCIAL, COCINA, 5 ALCOBAS CON BAÑO PRIVADO, PATIO, DEPOSITO, ZONA DE LAVADO"/>
    <n v="228904300"/>
    <s v=""/>
    <s v=""/>
    <m/>
  </r>
  <r>
    <s v="19210"/>
    <s v="BARRANQUILLA"/>
    <x v="11"/>
    <s v=""/>
    <s v="CR 51 B No, 76-136 ED CENTRO EMPRESARIAL LA PREVISORA OFICINA 204 PARQUEADERO 47"/>
    <s v="0"/>
    <s v="0"/>
    <s v="COMERCIALIZABLE"/>
    <s v="SEIS"/>
    <n v="222132480"/>
    <x v="15"/>
    <s v="NO PIERDAS LA OPORTUNIDAD DE UBICAR TU OFICINA EN UN EXCELENTE SECTOR DE LA CIUDAD, CUENTA CON EL ESPACIO QUE NECESITAS,"/>
    <n v="222132480"/>
    <s v=""/>
    <s v=""/>
    <m/>
  </r>
  <r>
    <s v="19210"/>
    <s v="BARRANQUILLA"/>
    <x v="11"/>
    <s v=""/>
    <s v="CR 51 B No, 76-136 ED CENTRO EMPRESARIAL LA PREVISORA OFICINA 204 PARQUEADERO 47"/>
    <s v="0"/>
    <s v="0"/>
    <s v="COMERCIALIZABLE VENTA ANTICIPADA"/>
    <s v="SEIS"/>
    <n v="222132480"/>
    <x v="15"/>
    <s v="NO PIERDAS LA OPORTUNIDAD DE UBICAR TU OFICINA EN UN EXCELENTE SECTOR DE LA CIUDAD, CUENTA CON EL ESPACIO QUE NECESITAS,"/>
    <n v="222132480"/>
    <s v=""/>
    <s v=""/>
    <m/>
  </r>
  <r>
    <s v="19203"/>
    <s v="NORCASIA"/>
    <x v="10"/>
    <s v=""/>
    <s v="La Esperanza - Vereda La Quiebra de Roque"/>
    <s v="0"/>
    <s v="0"/>
    <s v="COMERCIALIZABLE TERCEROS"/>
    <s v="RURAL"/>
    <n v="214110000"/>
    <x v="3"/>
    <s v="¡GRAN OPORTUNIDAD! FINCA LA ESPERANZA UBICADA EN NORCASIA- QUIEBRA DE ROCHE"/>
    <n v="214110000"/>
    <s v=""/>
    <s v=""/>
    <m/>
  </r>
  <r>
    <s v="19209"/>
    <s v="BARRANQUILLA"/>
    <x v="11"/>
    <s v=""/>
    <s v="CR 51 B No, 76-136 ED CENTRO EMPRESARIAL LA PREVISORA OFICINA 203 PARQUEADERO 46"/>
    <s v="0"/>
    <s v="0"/>
    <s v="COMERCIALIZABLE"/>
    <s v="SEIS"/>
    <n v="213205760"/>
    <x v="15"/>
    <s v="NO PIERDAS LA OPORTUNIDAD DE UBICAR TU OFICINA EN UN EXCELENTE SECTOR DE LA CIUDAD, CUENTA CON EL ESPACIO QUE NECESITAS,"/>
    <n v="213205760"/>
    <s v=""/>
    <s v=""/>
    <m/>
  </r>
  <r>
    <s v="19209"/>
    <s v="BARRANQUILLA"/>
    <x v="11"/>
    <s v=""/>
    <s v="CR 51 B No, 76-136 ED CENTRO EMPRESARIAL LA PREVISORA OFICINA 203 PARQUEADERO 46"/>
    <s v="0"/>
    <s v="0"/>
    <s v="COMERCIALIZABLE VENTA ANTICIPADA"/>
    <s v="SEIS"/>
    <n v="213205760"/>
    <x v="15"/>
    <s v="NO PIERDAS LA OPORTUNIDAD DE UBICAR TU OFICINA EN UN EXCELENTE SECTOR DE LA CIUDAD, CUENTA CON EL ESPACIO QUE NECESITAS,"/>
    <n v="213205760"/>
    <s v=""/>
    <s v=""/>
    <m/>
  </r>
  <r>
    <s v="19211"/>
    <s v="BARRANQUILLA"/>
    <x v="11"/>
    <s v=""/>
    <s v="CR 51 B No, 76-136 ED CENTRO EMPRESARIAL LA PREVISORA OFICINA 205 PARQUEADERO 48"/>
    <s v="0"/>
    <s v="0"/>
    <s v="COMERCIALIZABLE"/>
    <s v="SEIS"/>
    <n v="213205760"/>
    <x v="15"/>
    <s v="NO PIERDAS LA OPORTUNIDAD DE UBICAR TU OFICINA EN UN EXCELENTE SECTOR DE LA CIUDAD, CUENTA CON EL ESPACIO QUE NECESITAS,"/>
    <n v="213205760"/>
    <s v=""/>
    <s v=""/>
    <m/>
  </r>
  <r>
    <s v="19211"/>
    <s v="BARRANQUILLA"/>
    <x v="11"/>
    <s v=""/>
    <s v="CR 51 B No, 76-136 ED CENTRO EMPRESARIAL LA PREVISORA OFICINA 205 PARQUEADERO 48"/>
    <s v="0"/>
    <s v="0"/>
    <s v="COMERCIALIZABLE VENTA ANTICIPADA"/>
    <s v="SEIS"/>
    <n v="213205760"/>
    <x v="15"/>
    <s v="NO PIERDAS LA OPORTUNIDAD DE UBICAR TU OFICINA EN UN EXCELENTE SECTOR DE LA CIUDAD, CUENTA CON EL ESPACIO QUE NECESITAS,"/>
    <n v="213205760"/>
    <s v=""/>
    <s v=""/>
    <m/>
  </r>
  <r>
    <s v="18982"/>
    <s v="PUERTO BOYACA"/>
    <x v="3"/>
    <s v=""/>
    <s v="CRA, 2 A No, 32 - 11"/>
    <s v="0"/>
    <s v="0"/>
    <s v="COMERCIALIZABLE TERCEROS"/>
    <s v="DOS"/>
    <n v="187458000"/>
    <x v="12"/>
    <s v="INMUEBLE PROPIEDAD DE LA UNIDAD PARA LAS VÍCTIMAS - INICIA RECEPCIÓN DE OFERTAS,"/>
    <n v="187458000"/>
    <s v=""/>
    <s v=""/>
    <m/>
  </r>
  <r>
    <s v="19212"/>
    <s v="BARRANQUILLA"/>
    <x v="11"/>
    <s v=""/>
    <s v="CR 51 B No, 76-136 ED CENTRO EMPRESARIAL LA PREVISORA OFICINA 206 PARQUEADERO 32"/>
    <s v="0"/>
    <s v="0"/>
    <s v="COMERCIALIZABLE"/>
    <s v="SEIS"/>
    <n v="186144000"/>
    <x v="15"/>
    <s v="NO PIERDAS LA OPORTUNIDAD DE UBICAR TU OFICINA EN UN EXCELENTE SECTOR DE LA CIUDAD, CUENTA CON EL ESPACIO QUE NECESITAS,"/>
    <n v="186144000"/>
    <s v=""/>
    <s v=""/>
    <m/>
  </r>
  <r>
    <s v="19212"/>
    <s v="BARRANQUILLA"/>
    <x v="11"/>
    <s v=""/>
    <s v="CR 51 B No, 76-136 ED CENTRO EMPRESARIAL LA PREVISORA OFICINA 206 PARQUEADERO 32"/>
    <s v="0"/>
    <s v="0"/>
    <s v="COMERCIALIZABLE VENTA ANTICIPADA"/>
    <s v="SEIS"/>
    <n v="186144000"/>
    <x v="15"/>
    <s v="NO PIERDAS LA OPORTUNIDAD DE UBICAR TU OFICINA EN UN EXCELENTE SECTOR DE LA CIUDAD, CUENTA CON EL ESPACIO QUE NECESITAS,"/>
    <n v="186144000"/>
    <s v=""/>
    <s v=""/>
    <m/>
  </r>
  <r>
    <s v="19213"/>
    <s v="BARRANQUILLA"/>
    <x v="11"/>
    <s v=""/>
    <s v="CR 51 B No, 76-136 ED CENTRO EMPRESARIAL LA PREVISORA OFICINA 207 PARQUEADERO 33"/>
    <s v="0"/>
    <s v="0"/>
    <s v="COMERCIALIZABLE"/>
    <s v="SEIS"/>
    <n v="186144000"/>
    <x v="15"/>
    <s v="NO PIERDAS LA OPORTUNIDAD DE UBICAR TU OFICINA EN UN EXCELENTE SECTOR DE LA CIUDAD, CUENTA CON EL ESPACIO QUE NECESITAS,"/>
    <n v="186144000"/>
    <s v=""/>
    <s v=""/>
    <m/>
  </r>
  <r>
    <s v="19213"/>
    <s v="BARRANQUILLA"/>
    <x v="11"/>
    <s v=""/>
    <s v="CR 51 B No, 76-136 ED CENTRO EMPRESARIAL LA PREVISORA OFICINA 207 PARQUEADERO 33"/>
    <s v="0"/>
    <s v="0"/>
    <s v="COMERCIALIZABLE VENTA ANTICIPADA"/>
    <s v="SEIS"/>
    <n v="186144000"/>
    <x v="15"/>
    <s v="NO PIERDAS LA OPORTUNIDAD DE UBICAR TU OFICINA EN UN EXCELENTE SECTOR DE LA CIUDAD, CUENTA CON EL ESPACIO QUE NECESITAS,"/>
    <n v="186144000"/>
    <s v=""/>
    <s v=""/>
    <m/>
  </r>
  <r>
    <s v="17573"/>
    <s v="SANMIGUEL"/>
    <x v="12"/>
    <s v=""/>
    <s v="CENTRO NACIONAL DE ATENCION DE FRONTERAS - CENAF"/>
    <s v="0"/>
    <s v="0"/>
    <s v="COMERCIALIZABLE CON RESTRICCION"/>
    <s v="RURAL"/>
    <n v="185848000"/>
    <x v="9"/>
    <s v=""/>
    <n v="185848000"/>
    <s v=""/>
    <s v=""/>
    <m/>
  </r>
  <r>
    <s v="17358"/>
    <s v="MANIZALES"/>
    <x v="10"/>
    <s v=""/>
    <s v="CLL 5A N° 20-88 LOS ALCAZARES"/>
    <s v="0"/>
    <s v="0"/>
    <s v="COMERCIALIZABLE CON RESTRICCION"/>
    <s v="CUATRO"/>
    <n v="182340000"/>
    <x v="1"/>
    <s v="LOTE PARA VIVIENDA AREA APROXIMADA DE 202,6 MTS, MUNICIPIO MANIZALES SECTOR LOS ALCAZERES"/>
    <n v="182340000"/>
    <s v=""/>
    <s v=""/>
    <m/>
  </r>
  <r>
    <s v="19162"/>
    <s v="PIEDECUESTA"/>
    <x v="7"/>
    <s v=""/>
    <s v="CRA, 5 C NO, 19-18 - BARRIO PASEO DEL PUENTE"/>
    <s v="0"/>
    <s v="0"/>
    <s v="COMERCIALIZABLE TERCEROS"/>
    <s v="TRES"/>
    <n v="178310000"/>
    <x v="12"/>
    <s v=""/>
    <n v="178310000"/>
    <s v=""/>
    <s v=""/>
    <m/>
  </r>
  <r>
    <s v="19337"/>
    <s v="TARAZA"/>
    <x v="5"/>
    <s v=""/>
    <s v="LETICIA 20 - PIEDRA BRAVA"/>
    <s v="0"/>
    <s v="0"/>
    <s v="COMERCIALIZABLE TERCEROS"/>
    <s v="RURAL"/>
    <n v="178106700"/>
    <x v="14"/>
    <s v="INMUEBLE UBICADO EN EL CORREGIMIENTO DE LA CAUCANA, VEREDA PIEDRA BRAVA DEL MUNICIPIO DE TARAZÁ, LOTE DE TERRENO RURAL AGROPECUARIO, CON CULTIVO DE CAUCHO EL INMUEBLE SE ENCUENTRA CLASIFICADO DENTRO DEL SUELO RURAL DEL MUNICIPIO, EN ZONA DE INCENTIVO"/>
    <n v="178106700"/>
    <s v=""/>
    <s v=""/>
    <m/>
  </r>
  <r>
    <s v="18706"/>
    <s v="MANIZALES"/>
    <x v="10"/>
    <s v=""/>
    <s v="CL, 12 # 2A-05 LOCAL B-4 TORRE B"/>
    <s v="0"/>
    <s v="0"/>
    <s v="COMERCIALIZABLE CON RESTRICCION"/>
    <s v="CUATRO"/>
    <n v="168826320"/>
    <x v="13"/>
    <s v="¡GRAN OPORTUNIDAD!, LOCAL COMERCIAL UBICADO EN MANIZALES EN EL BARRIO VILLA PILAR, CON ÁREA DE 95,49MT2"/>
    <n v="168826320"/>
    <s v=""/>
    <s v=""/>
    <m/>
  </r>
  <r>
    <s v="18547"/>
    <s v="BOGOTA"/>
    <x v="1"/>
    <s v=""/>
    <s v="CL 42 A SUR  72H 18"/>
    <s v="0"/>
    <s v="0"/>
    <s v="COMERCIALIZABLE CON RESTRICCION"/>
    <s v="DOS"/>
    <n v="167418000"/>
    <x v="12"/>
    <s v=""/>
    <n v="167418000"/>
    <s v=""/>
    <s v=""/>
    <m/>
  </r>
  <r>
    <s v="18644"/>
    <s v="BARRANQUILLA"/>
    <x v="11"/>
    <s v="EL PRADO"/>
    <s v="CARRERA 54 # 68-124"/>
    <s v="0"/>
    <s v="0"/>
    <s v="COMERCIALIZABLE CON RESTRICCION"/>
    <s v="COMERCIAL"/>
    <n v="3535117700"/>
    <x v="9"/>
    <s v=""/>
    <n v="3535117700"/>
    <s v=""/>
    <s v=""/>
    <m/>
  </r>
  <r>
    <s v="19214"/>
    <s v="BARRANQUILLA"/>
    <x v="11"/>
    <s v=""/>
    <s v="CR 51 B No, 76-136 ED CENTRO EMPRESARIAL LA PREVISORA OFICINA 208"/>
    <s v="0"/>
    <s v="0"/>
    <s v="COMERCIALIZABLE"/>
    <s v="SEIS"/>
    <n v="159019520"/>
    <x v="15"/>
    <s v="NO PIERDAS LA OPORTUNIDAD DE UBICAR TU OFICINA EN UN EXCELENTE SECTOR DE LA CIUDAD, CUENTA CON EL ESPACIO QUE NECESITAS,"/>
    <n v="159019520"/>
    <s v=""/>
    <s v=""/>
    <m/>
  </r>
  <r>
    <s v="19214"/>
    <s v="BARRANQUILLA"/>
    <x v="11"/>
    <s v=""/>
    <s v="CR 51 B No, 76-136 ED CENTRO EMPRESARIAL LA PREVISORA OFICINA 208"/>
    <s v="0"/>
    <s v="0"/>
    <s v="COMERCIALIZABLE VENTA ANTICIPADA"/>
    <s v="SEIS"/>
    <n v="159019520"/>
    <x v="15"/>
    <s v="NO PIERDAS LA OPORTUNIDAD DE UBICAR TU OFICINA EN UN EXCELENTE SECTOR DE LA CIUDAD, CUENTA CON EL ESPACIO QUE NECESITAS,"/>
    <n v="159019520"/>
    <s v=""/>
    <s v=""/>
    <m/>
  </r>
  <r>
    <s v="19198"/>
    <s v="VALENCIA"/>
    <x v="9"/>
    <s v=""/>
    <s v="Predio La Cabaña - Vereda Tinajones - Corregimiento Villanueva"/>
    <s v="0"/>
    <s v="0"/>
    <s v="COMERCIALIZABLE TERCEROS"/>
    <s v="RURAL"/>
    <n v="145587375"/>
    <x v="3"/>
    <s v="LOTE CON CONSTRUCCION LA CABAÑA UBICADO EN EL CORREGIMIENTO DE VILLANUEVA, DEL MUNICIPIO DE VALENCIA, DEPARTAMENTO DE CÓRDOBA,USO PRINCIPAL:_x000a_GENERACIÓN DE PRODUCTOS AGRÍCOLAS CON FORESTALES MADERABLES Y NO MADERABLES, BAJO EL CONCEPTO DE MANEJO SOSTE"/>
    <n v="145587375"/>
    <s v=""/>
    <s v=""/>
    <m/>
  </r>
  <r>
    <s v="18795"/>
    <s v="BARRANQUILLA"/>
    <x v="11"/>
    <s v=""/>
    <s v="CL, 50 # 10 SUR -55"/>
    <s v="0"/>
    <s v="0"/>
    <s v="COMERCIALIZABLE CON RESTRICCION"/>
    <s v="UNO"/>
    <n v="144636000"/>
    <x v="1"/>
    <s v="CISA VENDE SOLO EL LOTE, LA CONSTRUCCION ES DE TERCEROS"/>
    <n v="144636000"/>
    <s v=""/>
    <s v=""/>
    <m/>
  </r>
  <r>
    <s v="19220"/>
    <s v="TULUA"/>
    <x v="0"/>
    <s v=""/>
    <s v="Calle 42 A No, 24-79"/>
    <s v="0"/>
    <s v="0"/>
    <s v="COMERCIALIZABLE TERCEROS"/>
    <s v="CUATRO"/>
    <n v="130099200"/>
    <x v="1"/>
    <s v=""/>
    <n v="130099200"/>
    <s v=""/>
    <s v=""/>
    <m/>
  </r>
  <r>
    <s v="18568"/>
    <s v="PEREIRA"/>
    <x v="6"/>
    <s v=""/>
    <s v="LOTE - 2"/>
    <s v="0"/>
    <s v="0"/>
    <s v="COMERCIALIZABLE CON RESTRICCION"/>
    <s v="RURAL"/>
    <n v="1101246490"/>
    <x v="5"/>
    <s v=""/>
    <n v="1101246490"/>
    <s v=""/>
    <s v=""/>
    <m/>
  </r>
  <r>
    <s v="19199"/>
    <s v="VALENCIA"/>
    <x v="9"/>
    <s v=""/>
    <s v="Predio Finca Sam Andrés - Vereda Tinajones - Corregimiento Villanueva"/>
    <s v="0"/>
    <s v="0"/>
    <s v="COMERCIALIZABLE TERCEROS"/>
    <s v="RURAL"/>
    <n v="100645710"/>
    <x v="3"/>
    <s v="INMUEBLE RURAL DESTINADO A GANADERÍA, EL PREDIO EN SU MAYORÍA CUENTA CON UNA TOPOGRAFÍA PLANA,  EL PREDIO CUENTA CON SUMINISTRO DE ENERGÍA ELÉCTRICA,"/>
    <n v="100645710"/>
    <s v=""/>
    <s v=""/>
    <m/>
  </r>
  <r>
    <s v="17350"/>
    <s v="PEREIRA"/>
    <x v="6"/>
    <s v="AV 30 DE AGOSTO"/>
    <s v="CLL 69 O ACEESO A CUBA AV,  30 DE AGOSTO LOTE 10"/>
    <s v="0"/>
    <s v="0"/>
    <s v="COMERCIALIZABLE CON RESTRICCION"/>
    <s v="DOS"/>
    <n v="100138200"/>
    <x v="1"/>
    <s v=""/>
    <n v="100138200"/>
    <s v=""/>
    <s v=""/>
    <m/>
  </r>
  <r>
    <s v="18806"/>
    <s v="BARRANQUILLA"/>
    <x v="11"/>
    <s v=""/>
    <s v="CL, 45G # 16 SUR-08"/>
    <s v="0"/>
    <s v="0"/>
    <s v="COMERCIALIZABLE CON RESTRICCION"/>
    <s v="DOS"/>
    <n v="99324000"/>
    <x v="1"/>
    <s v="CISA VENDE SOLO EL LOTE, LA CONSTRUCCION ES DE TERCEROS"/>
    <n v="99324000"/>
    <s v=""/>
    <s v=""/>
    <m/>
  </r>
  <r>
    <s v="19005"/>
    <s v="TIERRALTA"/>
    <x v="9"/>
    <s v=""/>
    <s v="CR 8 A NO, 8-42 - BRR, 20 DE JULIO"/>
    <s v="0"/>
    <s v="0"/>
    <s v="COMERCIALIZABLE TERCEROS"/>
    <s v="UNO"/>
    <n v="98360090"/>
    <x v="12"/>
    <s v="INMUEBLE PROPIEDAD DE LA UNIDAD DE REPARACIÓN DE VÍCTIMAS - UARIV"/>
    <n v="98360090"/>
    <s v=""/>
    <s v=""/>
    <m/>
  </r>
  <r>
    <s v="17107"/>
    <s v="ACANDI"/>
    <x v="13"/>
    <s v=""/>
    <s v="CORREGIMIENTO TITUMATE"/>
    <s v="0"/>
    <s v="0"/>
    <s v="COMERCIALIZABLE"/>
    <s v="COMERCIAL"/>
    <n v="9377668408"/>
    <x v="1"/>
    <s v="GRAN OPORTUNIDAD DE INVERSIÓN LOTE CON ÁREA DE 720 M2 UBICADO EN ACANDÍ – CHOCO, EL SECTOR DONDE SE ENCUENTRA UBICADO EL LOTE, PREDOMINA EL USO RESIDENCIAL DE TIPO UNIFAMILIAR, TOPOGRAFÍA PLANA,"/>
    <n v="9377668408"/>
    <s v=""/>
    <s v=""/>
    <m/>
  </r>
  <r>
    <s v="19338"/>
    <s v="TARAZA"/>
    <x v="5"/>
    <s v=""/>
    <s v="APARTAMENTO 101 BLOQUE 1"/>
    <s v="0"/>
    <s v="0"/>
    <s v="COMERCIALIZABLE TERCEROS"/>
    <s v="DOS"/>
    <n v="83179100"/>
    <x v="10"/>
    <s v="APARTAMENTO 101 ÁREA APROXIMADA DE 105,29 M2, BLOQUE 1 URBANIZACIÓN SAN MARTIN MUNICIPIO TARAZÁ, BUENAS VIAS DE ACCESO"/>
    <n v="83179100"/>
    <s v=""/>
    <s v=""/>
    <m/>
  </r>
  <r>
    <s v="17344"/>
    <s v="PEREIRA"/>
    <x v="6"/>
    <s v="AV 30 DE AGOSTO"/>
    <s v="AVENIDA 30 DE AGOSTO CLL 69 O ACCESO A CUBA LOTE J, IDENT, COMO LOTE 20"/>
    <s v="0"/>
    <s v="0"/>
    <s v="COMERCIALIZABLE CON RESTRICCION"/>
    <s v="CUATRO"/>
    <n v="8084411853"/>
    <x v="1"/>
    <s v=""/>
    <n v="8084411853"/>
    <s v=""/>
    <s v=""/>
    <m/>
  </r>
  <r>
    <s v="18632"/>
    <s v="BOGOTA"/>
    <x v="1"/>
    <s v=""/>
    <s v="CARRERA 9 # 17 - 54 OFICINA 508"/>
    <s v="0"/>
    <s v="0"/>
    <s v="COMERCIALIZABLE"/>
    <s v="COMERCIAL"/>
    <n v="77202090"/>
    <x v="15"/>
    <s v=""/>
    <n v="77202090"/>
    <s v=""/>
    <s v=""/>
    <m/>
  </r>
  <r>
    <s v="19218"/>
    <s v="VILLAVICENCIO"/>
    <x v="4"/>
    <s v=""/>
    <s v="Carrera 21 B No, 36-02 Manzana H Casa 1"/>
    <s v="0"/>
    <s v="0"/>
    <s v="COMERCIALIZABLE TERCEROS"/>
    <s v="TRES"/>
    <n v="72976720"/>
    <x v="12"/>
    <s v=""/>
    <n v="72976720"/>
    <s v=""/>
    <s v=""/>
    <m/>
  </r>
  <r>
    <s v="17106"/>
    <s v="ACANDI"/>
    <x v="13"/>
    <s v=""/>
    <s v="CORREGIMIENTO DE GILGAL"/>
    <s v="0"/>
    <s v="0"/>
    <s v="COMERCIALIZABLE CON RESTRICCION"/>
    <s v="COMERCIAL"/>
    <n v="6732023256"/>
    <x v="1"/>
    <s v="GRAN OPORTUNIDAD DE INVERSIÓN LOTE CON ÁREA DE 589 M2 UBICADO EN ACANDÍ – CHOCO, EL SECTOR DONDE SE ENCUENTRA UBICADO EL LOTE, PREDOMINA EL USO RESIDENCIAL DE TIPO UNIFAMILIAR, TOPOGRAFÍA PLANA,"/>
    <n v="6732023256"/>
    <s v=""/>
    <s v=""/>
    <m/>
  </r>
  <r>
    <s v="19195"/>
    <s v="MONTERIA"/>
    <x v="9"/>
    <s v=""/>
    <s v="Parcela 8 Castillo Diaz - Las Tangas, Vereda Guasimal"/>
    <s v="0"/>
    <s v="0"/>
    <s v="COMERCIALIZABLE TERCEROS"/>
    <s v="RURAL"/>
    <n v="66820196"/>
    <x v="3"/>
    <s v="INMUEBLE RURAL, CORREGIMIENTO DE VILLA NUEVA, MUNICIPIO DE VALENCIA, LOTE DE TERRENO CON DESTINACIÓN AGRICOLA - GANADERA, CON 8,92 HA"/>
    <n v="66820196"/>
    <s v=""/>
    <s v=""/>
    <m/>
  </r>
  <r>
    <s v="19339"/>
    <s v="TARAZA"/>
    <x v="5"/>
    <s v=""/>
    <s v="CALLE 47B N° 27 - 25 APARTAMENTO 201 BLOQUE 3"/>
    <s v="0"/>
    <s v="0"/>
    <s v="COMERCIALIZABLE TERCEROS"/>
    <s v="DOS"/>
    <n v="66744770"/>
    <x v="10"/>
    <s v="APARTAMENTO UBICADO EN LA URBANIZACION SAN MARTIN II MUNICIPIO DE TARAZÁ ÁREA 92,83 M2 APROX, CON UNA DISTRIBUCIÓN TRES HABITACIONES, DOS BAÑOS, PATIO DESCUBIERTO CON ZONA DE ROPAS, SALA – COMEDOR Y COCINA,"/>
    <n v="66744770"/>
    <s v=""/>
    <s v=""/>
    <m/>
  </r>
  <r>
    <s v="17861"/>
    <s v="EL ROSAL"/>
    <x v="1"/>
    <s v=""/>
    <s v="LA MANCHA VEREDA PUERTA DEL CUERO"/>
    <s v="0"/>
    <s v="0"/>
    <s v="COMERCIALIZABLE CON RESTRICCION"/>
    <s v="RURAL"/>
    <n v="10683777981"/>
    <x v="9"/>
    <s v=""/>
    <n v="10683777981"/>
    <s v=""/>
    <s v=""/>
    <m/>
  </r>
  <r>
    <s v="18959"/>
    <s v="CARTAGENA"/>
    <x v="8"/>
    <s v="ALTO BOSQUE"/>
    <s v="Diagonal 22 No, 53 - 41 Urb, Rincón del Alto Bosque PH Etapa I Bl 1 Apto 408 Dúplex"/>
    <s v="0"/>
    <s v="0"/>
    <s v="COMERCIALIZABLE CON RESTRICCION"/>
    <s v="TRES"/>
    <n v="131355000"/>
    <x v="10"/>
    <s v="OPORTUNIDAD DE INVERTIR EN APARTAMENTO DÚPLEX EN CONJUNTO RESIDENCIAL ALTO BOSQUE, IMPORTANTE MULTIFAMILIAR EN BARRIO EL BOSQUE EN CARTAGENA,"/>
    <n v="131355000"/>
    <s v=""/>
    <s v=""/>
    <m/>
  </r>
  <r>
    <s v="18958"/>
    <s v="CARTAGENA"/>
    <x v="8"/>
    <s v="ALTO BOSQUE"/>
    <s v="Diagonal 22 No, 53 - 41 Urb, Rincón del Alto Bosque PH Etapa II Bl 4 Apto 407 Dúplex"/>
    <s v="0"/>
    <s v="0"/>
    <s v="COMERCIALIZABLE CON RESTRICCION"/>
    <s v="TRES"/>
    <n v="125370000"/>
    <x v="10"/>
    <s v="OPORTUNIDAD DE INVERTIR EN APARTAMENTO DÚPLEX EN CONJUNTO RESIDENCIAL ALTO BOSQUE, IMPORTANTE MULTIFAMILIAR EN BARRIO EL BOSQUE EN CARTAGENA,"/>
    <n v="125370000"/>
    <s v=""/>
    <s v=""/>
    <m/>
  </r>
  <r>
    <s v="17351"/>
    <s v="PEREIRA"/>
    <x v="6"/>
    <s v="AV 30 DE AGOSTO"/>
    <s v="CLL 69 O ACEESO A CUBA AV,  30 DE AGOSTO LOTE 12"/>
    <s v="0"/>
    <s v="0"/>
    <s v="COMERCIALIZABLE CON RESTRICCION"/>
    <s v="DOS"/>
    <n v="53401590"/>
    <x v="1"/>
    <s v=""/>
    <n v="53401590"/>
    <s v=""/>
    <s v=""/>
    <m/>
  </r>
  <r>
    <s v="19219"/>
    <s v="SAN MARTIN"/>
    <x v="4"/>
    <s v=""/>
    <s v="Calle 1 A No, 8-114 -Manzana G-23 - Lote 11"/>
    <s v="0"/>
    <s v="0"/>
    <s v="COMERCIALIZABLE TERCEROS"/>
    <s v="TRES"/>
    <n v="50600000"/>
    <x v="1"/>
    <s v=""/>
    <n v="50600000"/>
    <s v=""/>
    <s v=""/>
    <m/>
  </r>
  <r>
    <s v="19131"/>
    <s v="BOGOTA"/>
    <x v="1"/>
    <s v=""/>
    <s v="CARRERA 42 A  No, 10 A - 09"/>
    <s v="0"/>
    <s v="0"/>
    <s v="COMERCIALIZABLE"/>
    <s v="TRES"/>
    <n v="3336090000"/>
    <x v="5"/>
    <s v=""/>
    <n v="3336090000"/>
    <s v=""/>
    <s v=""/>
    <m/>
  </r>
  <r>
    <s v="17404"/>
    <s v="BOGOTA"/>
    <x v="1"/>
    <s v=""/>
    <s v="KR 45B 38 27 SUR MUZU ETAPA 2 COMERCIO N° 1 MZ 17 LOCAL"/>
    <s v="0"/>
    <s v="0"/>
    <s v="COMERCIALIZABLE CON RESTRICCION"/>
    <s v="TRES"/>
    <n v="42570000"/>
    <x v="13"/>
    <s v=""/>
    <n v="42570000"/>
    <s v=""/>
    <s v=""/>
    <m/>
  </r>
  <r>
    <s v="18532"/>
    <s v="VILLAVICENCIO"/>
    <x v="4"/>
    <s v=""/>
    <s v="CENTRAL MINORISTA DE ABASTOS DE VILLAVICENCIO - CEMERCA Local R0702"/>
    <s v="0"/>
    <s v="0"/>
    <s v="COMERCIALIZABLE"/>
    <s v="COMERCIAL"/>
    <n v="40468000"/>
    <x v="13"/>
    <s v=""/>
    <n v="40468000"/>
    <s v=""/>
    <s v=""/>
    <m/>
  </r>
  <r>
    <s v="19142"/>
    <s v="CALI"/>
    <x v="0"/>
    <s v=""/>
    <s v="Km 8 Vía al Mar Hacienda Saratoga AG 23 Lote 15A"/>
    <s v="0"/>
    <s v="0"/>
    <s v="COMERCIALIZABLE TERCEROS"/>
    <s v="RURAL"/>
    <n v="38149440"/>
    <x v="9"/>
    <s v="INVIERTA EN ESTE TERRENO CAMPESTRE EN UNA ZONA DE CLIMA TEMPLADO Y BELLOS PAISAJES, SOBRE LA VÍA AL MAR,  EL SECTOR CUENTA CON LOS SERVICIOS DE ACUEDUCTO, GAS NATURAL Y ENERGÍA, CERCANIA CON EL PARADERO DE JEEPS DE PATIO BONITO Y EL CAI FORESTAL,"/>
    <n v="38149440"/>
    <s v=""/>
    <s v=""/>
    <m/>
  </r>
  <r>
    <s v="18439"/>
    <s v="VILLAVICENCIO"/>
    <x v="4"/>
    <s v=""/>
    <s v="CENTRAL MINORISTA DE ABASTOS DE VILLAVICENCIO - CEMERCA Local G0601"/>
    <s v="0"/>
    <s v="0"/>
    <s v="COMERCIALIZABLE"/>
    <s v="COMERCIAL"/>
    <n v="37509500"/>
    <x v="13"/>
    <s v=""/>
    <n v="37509500"/>
    <s v=""/>
    <s v=""/>
    <m/>
  </r>
  <r>
    <s v="18443"/>
    <s v="VILLAVICENCIO"/>
    <x v="4"/>
    <s v=""/>
    <s v="CENTRAL MINORISTA DE ABASTOS DE VILLAVICENCIO - CEMERCA Local G0608"/>
    <s v="0"/>
    <s v="0"/>
    <s v="COMERCIALIZABLE"/>
    <s v="COMERCIAL"/>
    <n v="36039500"/>
    <x v="13"/>
    <s v=""/>
    <n v="36039500"/>
    <s v=""/>
    <s v=""/>
    <m/>
  </r>
  <r>
    <s v="17341"/>
    <s v="PEREIRA"/>
    <x v="6"/>
    <s v="AV 30 DE AGOSTO"/>
    <s v="CLL 69 O ACEESO A CUBA AV,  30 DE AGOSTO LOTE 11"/>
    <s v="0"/>
    <s v="0"/>
    <s v="COMERCIALIZABLE CON RESTRICCION"/>
    <s v="DOS"/>
    <n v="34015370"/>
    <x v="1"/>
    <s v=""/>
    <n v="34015370"/>
    <s v=""/>
    <s v=""/>
    <m/>
  </r>
  <r>
    <s v="18850"/>
    <s v="CARTAGENA"/>
    <x v="8"/>
    <s v=""/>
    <s v="KILÓMETRO 4  DE LA VÍA MAMONAL  CARRERA 56, #60D-240, #60D-170, BODEGA 24 BARRIO ARROZ BARATO SECTOR PUERTA DE HIERRO"/>
    <s v="0"/>
    <s v="0"/>
    <s v="COMERCIALIZABLE"/>
    <s v="INDUSTRIAL"/>
    <n v="1764406000"/>
    <x v="5"/>
    <s v="ESTE PORCENTAJE DE PROPIEDAD SE VENDE JUNTO CON OTROS 14 QUE CORRESPONDEN A BODEGAS UBICADAS EN LA  MISMA ZONA, POR UN PRECIO MINIMO DE VENTA DE $280,772,600,"/>
    <n v="1764406000"/>
    <s v=""/>
    <s v=""/>
    <m/>
  </r>
  <r>
    <s v="18445"/>
    <s v="VILLAVICENCIO"/>
    <x v="4"/>
    <s v=""/>
    <s v="CENTRAL MINORISTA DE ABASTOS DE VILLAVICENCIO - CEMERCA Local G0611"/>
    <s v="0"/>
    <s v="0"/>
    <s v="COMERCIALIZABLE"/>
    <s v="COMERCIAL"/>
    <n v="31335500"/>
    <x v="13"/>
    <s v=""/>
    <n v="31335500"/>
    <s v=""/>
    <s v=""/>
    <m/>
  </r>
  <r>
    <s v="19141"/>
    <s v="CALI"/>
    <x v="0"/>
    <s v=""/>
    <s v="Km 8 Vía al Mar Saladito AG 22 Lote 9E"/>
    <s v="0"/>
    <s v="0"/>
    <s v="COMERCIALIZABLE TERCEROS"/>
    <s v="RURAL"/>
    <n v="31062880"/>
    <x v="9"/>
    <s v="INVIERTA EN ESTE TERRENO CAMPESTRE EN UNA ZONA DE CLIMA TEMPLADO Y BELLOS PAISAJES, SOBRE LA VÍA AL MAR,  EL SECTOR CUENTA CON LOS SERVICIOS DE ACUEDUCTO, GAS NATURAL Y ENERGÍA, CERCANIA CON EL PARADERO DE JEEPS DE PATIO BONITO Y EL CAI FORESTAL,"/>
    <n v="31062880"/>
    <s v=""/>
    <s v=""/>
    <m/>
  </r>
  <r>
    <s v="19330"/>
    <s v="BOGOTA"/>
    <x v="1"/>
    <s v=""/>
    <s v="KR 100 17A 41 LC 334"/>
    <s v="0"/>
    <s v="0"/>
    <s v="COMERCIALIZABLE CON RESTRICCION"/>
    <s v="TRES"/>
    <n v="30368800"/>
    <x v="13"/>
    <s v=""/>
    <n v="30368800"/>
    <s v=""/>
    <s v=""/>
    <m/>
  </r>
  <r>
    <s v="18522"/>
    <s v="VILLAVICENCIO"/>
    <x v="4"/>
    <s v=""/>
    <s v="CENTRAL MINORISTA DE ABASTOS DE VILLAVICENCIO - CEMERCA Local R0301"/>
    <s v="0"/>
    <s v="0"/>
    <s v="COMERCIALIZABLE"/>
    <s v="COMERCIAL"/>
    <n v="29596000"/>
    <x v="13"/>
    <s v=""/>
    <n v="29596000"/>
    <s v=""/>
    <s v=""/>
    <m/>
  </r>
  <r>
    <s v="18523"/>
    <s v="VILLAVICENCIO"/>
    <x v="4"/>
    <s v=""/>
    <s v="CENTRAL MINORISTA DE ABASTOS DE VILLAVICENCIO - CEMERCA Local R0302"/>
    <s v="0"/>
    <s v="0"/>
    <s v="COMERCIALIZABLE"/>
    <s v="COMERCIAL"/>
    <n v="29596000"/>
    <x v="13"/>
    <s v=""/>
    <n v="29596000"/>
    <s v=""/>
    <s v=""/>
    <m/>
  </r>
  <r>
    <s v="18524"/>
    <s v="VILLAVICENCIO"/>
    <x v="4"/>
    <s v=""/>
    <s v="CENTRAL MINORISTA DE ABASTOS DE VILLAVICENCIO - CEMERCA Local R0303"/>
    <s v="0"/>
    <s v="0"/>
    <s v="COMERCIALIZABLE"/>
    <s v="COMERCIAL"/>
    <n v="29596000"/>
    <x v="13"/>
    <s v=""/>
    <n v="29596000"/>
    <s v=""/>
    <s v=""/>
    <m/>
  </r>
  <r>
    <s v="18525"/>
    <s v="VILLAVICENCIO"/>
    <x v="4"/>
    <s v=""/>
    <s v="CENTRAL MINORISTA DE ABASTOS DE VILLAVICENCIO - CEMERCA Local R0403"/>
    <s v="0"/>
    <s v="0"/>
    <s v="COMERCIALIZABLE"/>
    <s v="COMERCIAL"/>
    <n v="29596000"/>
    <x v="13"/>
    <s v=""/>
    <n v="29596000"/>
    <s v=""/>
    <s v=""/>
    <m/>
  </r>
  <r>
    <s v="12732"/>
    <s v="CALI"/>
    <x v="0"/>
    <s v="VEREDA EL SALADITO"/>
    <s v="LOTE 9C DIVISION REALIZADA A LA ANTIGUA HACIENDA SARATOGA"/>
    <s v="0"/>
    <s v="0"/>
    <s v="COMERCIALIZABLE"/>
    <s v="RURAL"/>
    <n v="2940740352"/>
    <x v="0"/>
    <s v="INVIERTA EN ESTE TERRENO CAMPESTRE EN UNA ZONA DE CLIMA TEMPLADO Y BELLOS PAISAJES, SOBRE LA VÍA AL MAR,  EL SECTOR CUENTA CON LOS SERVICIOS DE ACUEDUCTO, GAS NATURAL Y ENERGÍA, CERCANIA CON LA ESTACION DE SERVICIO ESSO, LOTE EN PENDIENTE 100%,"/>
    <n v="2940740352"/>
    <s v=""/>
    <s v=""/>
    <m/>
  </r>
  <r>
    <s v="19296"/>
    <s v="BOGOTA"/>
    <x v="1"/>
    <s v=""/>
    <s v="Garaje 14 Calle 123 9C-45 Edificio EDJAK"/>
    <s v="0"/>
    <s v="0"/>
    <s v="COMERCIALIZABLE"/>
    <s v="CINCO"/>
    <n v="29185200"/>
    <x v="16"/>
    <s v=""/>
    <n v="29185200"/>
    <s v=""/>
    <s v=""/>
    <m/>
  </r>
  <r>
    <s v="19295"/>
    <s v="BOGOTA"/>
    <x v="1"/>
    <s v=""/>
    <s v="Garaje 15 Calle 123 9C-45 Edificio EDJAK"/>
    <s v="0"/>
    <s v="0"/>
    <s v="COMERCIALIZABLE"/>
    <s v="CINCO"/>
    <n v="28981920"/>
    <x v="16"/>
    <s v=""/>
    <n v="28981920"/>
    <s v=""/>
    <s v=""/>
    <m/>
  </r>
  <r>
    <s v="18499"/>
    <s v="VILLAVICENCIO"/>
    <x v="4"/>
    <s v=""/>
    <s v="CENTRAL MINORISTA DE ABASTOS DE VILLAVICENCIO - CEMERCA Local G1301"/>
    <s v="0"/>
    <s v="0"/>
    <s v="COMERCIALIZABLE"/>
    <s v="COMERCIAL"/>
    <n v="28959000"/>
    <x v="13"/>
    <s v=""/>
    <n v="28959000"/>
    <s v=""/>
    <s v=""/>
    <m/>
  </r>
  <r>
    <s v="18038"/>
    <s v="GIRARDOT"/>
    <x v="1"/>
    <s v=""/>
    <s v="LOCAL 15 CENTRO COMERCIAL EL PEÑON INN PLAZA"/>
    <s v="0"/>
    <s v="0"/>
    <s v="COMERCIALIZABLE CON RESTRICCION"/>
    <s v="COMERCIAL"/>
    <n v="842625175"/>
    <x v="13"/>
    <s v=""/>
    <n v="842625175"/>
    <s v=""/>
    <s v=""/>
    <m/>
  </r>
  <r>
    <s v="17342"/>
    <s v="PEREIRA"/>
    <x v="6"/>
    <s v="AV 30 DE AGOSTO"/>
    <s v="CLL 69 O ACEESO A CUBA AV,  30 DE AGOSTO LOTE 15"/>
    <s v="0"/>
    <s v="0"/>
    <s v="EN PUJA"/>
    <s v="CUATRO"/>
    <n v="2842789282"/>
    <x v="1"/>
    <s v=""/>
    <n v="2842789282"/>
    <s v=""/>
    <s v=""/>
    <m/>
  </r>
  <r>
    <s v="18837"/>
    <s v="CARTAGENA"/>
    <x v="8"/>
    <s v=""/>
    <s v="KILÓMETRO 4  DE LA VÍA MAMONAL  CARRERA 56, #60D-240, #60D-170, BODEGA 1 BARRIO ARROZ BARATO SECTOR PUERTA DE HIERRO"/>
    <s v="0"/>
    <s v="0"/>
    <s v="COMERCIALIZABLE CON RESTRICCION"/>
    <s v="INDUSTRIAL"/>
    <n v="1504512000"/>
    <x v="5"/>
    <s v="ESTE PORCENTAJE DE PROPIEDAD SE VENDE JUNTO CON OTROS 14 QUE CORRESPONDEN A BODEGAS UBICADAS EN LA  MISMA ZONA, POR UN PRECIO MINIMO DE VENTA DE $280,772,600,"/>
    <n v="1504512000"/>
    <s v=""/>
    <s v=""/>
    <m/>
  </r>
  <r>
    <s v="18840"/>
    <s v="CARTAGENA"/>
    <x v="8"/>
    <s v=""/>
    <s v="KILÓMETRO 4  DE LA VÍA MAMONAL  CARRERA 56, #60D-240, #60D-170, BODEGA 4 BARRIO ARROZ BARATO SECTOR PUERTA DE HIERRO"/>
    <s v="0"/>
    <s v="0"/>
    <s v="COMERCIALIZABLE CON RESTRICCION"/>
    <s v="INDUSTRIAL"/>
    <n v="1452272000"/>
    <x v="5"/>
    <s v="ESTE PORCENTAJE DE PROPIEDAD SE VENDE JUNTO CON OTROS 14 QUE CORRESPONDEN A BODEGAS UBICADAS EN LA  MISMA ZONA, POR UN PRECIO MINIMO DE VENTA DE $280,772,600,"/>
    <n v="1452272000"/>
    <s v=""/>
    <s v=""/>
    <m/>
  </r>
  <r>
    <s v="18176"/>
    <s v="VILLAVICENCIO"/>
    <x v="4"/>
    <s v=""/>
    <s v="CENTRAL MINORISTA DE ABASTOS DE VILLAVICENCIO - CEMERCA Local A2604"/>
    <s v="0"/>
    <s v="0"/>
    <s v="COMERCIALIZABLE"/>
    <s v="COMERCIAL"/>
    <n v="27034500"/>
    <x v="13"/>
    <s v=""/>
    <n v="27034500"/>
    <s v=""/>
    <s v=""/>
    <m/>
  </r>
  <r>
    <s v="17190"/>
    <s v="BUENAVENTURA"/>
    <x v="0"/>
    <s v="GALEÓN ZONA B"/>
    <s v="KR 50  N° 4-20  BARRIO GALEON ZONA B"/>
    <s v="0"/>
    <s v="0"/>
    <s v="COMERCIALIZABLE CON RESTRICCION"/>
    <s v="TRES"/>
    <n v="26924299"/>
    <x v="1"/>
    <s v=""/>
    <n v="26924299"/>
    <s v=""/>
    <s v=""/>
    <m/>
  </r>
  <r>
    <s v="17007"/>
    <s v="BUCARAMANGA"/>
    <x v="7"/>
    <s v=""/>
    <s v="CALLE 9 NO, 15 79/89 BARRIO CHAPINERO"/>
    <s v="0"/>
    <s v="0"/>
    <s v="COMERCIALIZABLE CON RESTRICCION"/>
    <s v="DOS"/>
    <n v="1092904000"/>
    <x v="5"/>
    <s v=""/>
    <n v="1092904000"/>
    <s v=""/>
    <s v=""/>
    <m/>
  </r>
  <r>
    <s v="18109"/>
    <s v="VILLAVICENCIO"/>
    <x v="4"/>
    <s v=""/>
    <s v="CENTRAL MINORISTA DE ABASTOS DE VILLAVICENCIO - CEMERCA Local A0607"/>
    <s v="0"/>
    <s v="0"/>
    <s v="COMERCIALIZABLE"/>
    <s v="COMERCIAL"/>
    <n v="26130000"/>
    <x v="13"/>
    <s v=""/>
    <n v="26130000"/>
    <s v=""/>
    <s v=""/>
    <m/>
  </r>
  <r>
    <s v="18433"/>
    <s v="VILLAVICENCIO"/>
    <x v="4"/>
    <s v=""/>
    <s v="CENTRAL MINORISTA DE ABASTOS DE VILLAVICENCIO - CEMERCA Local G0513"/>
    <s v="0"/>
    <s v="0"/>
    <s v="COMERCIALIZABLE"/>
    <s v="COMERCIAL"/>
    <n v="25896500"/>
    <x v="13"/>
    <s v=""/>
    <n v="25896500"/>
    <s v=""/>
    <s v=""/>
    <m/>
  </r>
  <r>
    <s v="18497"/>
    <s v="VILLAVICENCIO"/>
    <x v="4"/>
    <s v=""/>
    <s v="CENTRAL MINORISTA DE ABASTOS DE VILLAVICENCIO - CEMERCA Local G1201"/>
    <s v="0"/>
    <s v="0"/>
    <s v="COMERCIALIZABLE"/>
    <s v="COMERCIAL"/>
    <n v="25406500"/>
    <x v="13"/>
    <s v=""/>
    <n v="25406500"/>
    <s v=""/>
    <s v=""/>
    <m/>
  </r>
  <r>
    <s v="18422"/>
    <s v="VILLAVICENCIO"/>
    <x v="4"/>
    <s v=""/>
    <s v="CENTRAL MINORISTA DE ABASTOS DE VILLAVICENCIO - CEMERCA Local G0403"/>
    <s v="0"/>
    <s v="0"/>
    <s v="COMERCIALIZABLE"/>
    <s v="COMERCIAL"/>
    <n v="25093000"/>
    <x v="13"/>
    <s v=""/>
    <n v="25093000"/>
    <s v=""/>
    <s v=""/>
    <m/>
  </r>
  <r>
    <s v="18996"/>
    <s v="MEDELLIN"/>
    <x v="5"/>
    <s v=""/>
    <s v="CL 48  No, 53 - 39 C,C, JAPON INT, 0937"/>
    <s v="0"/>
    <s v="0"/>
    <s v="EN PUJA"/>
    <s v="COMERCIAL"/>
    <n v="1599241731"/>
    <x v="13"/>
    <s v="GRAN OPORTUNIDAD DE INVERSIÓN LOCAL EN CL, 48 NO, 53 - 39 C,C, JAPÓN INT, 0937 DONDE SE ARTICULAN ACTIVIDADES COMERCIALES, CENTROS COMERCIALES, TIENDAS, EXCELENTES PERSPECTIVAS DE VALORIZACIÓN, MUY BUENAS VÍAS DE ACCESO,"/>
    <n v="1599241731"/>
    <s v=""/>
    <s v=""/>
    <m/>
  </r>
  <r>
    <s v="18498"/>
    <s v="VILLAVICENCIO"/>
    <x v="4"/>
    <s v=""/>
    <s v="CENTRAL MINORISTA DE ABASTOS DE VILLAVICENCIO - CEMERCA Local G1208"/>
    <s v="0"/>
    <s v="0"/>
    <s v="COMERCIALIZABLE"/>
    <s v="COMERCIAL"/>
    <n v="24012000"/>
    <x v="13"/>
    <s v=""/>
    <n v="24012000"/>
    <s v=""/>
    <s v=""/>
    <m/>
  </r>
  <r>
    <s v="18440"/>
    <s v="VILLAVICENCIO"/>
    <x v="4"/>
    <s v=""/>
    <s v="CENTRAL MINORISTA DE ABASTOS DE VILLAVICENCIO - CEMERCA Local G0602"/>
    <s v="0"/>
    <s v="0"/>
    <s v="COMERCIALIZABLE"/>
    <s v="COMERCIAL"/>
    <n v="23920000"/>
    <x v="13"/>
    <s v=""/>
    <n v="23920000"/>
    <s v=""/>
    <s v=""/>
    <m/>
  </r>
  <r>
    <s v="18441"/>
    <s v="VILLAVICENCIO"/>
    <x v="4"/>
    <s v=""/>
    <s v="CENTRAL MINORISTA DE ABASTOS DE VILLAVICENCIO - CEMERCA Local G0606"/>
    <s v="0"/>
    <s v="0"/>
    <s v="COMERCIALIZABLE"/>
    <s v="COMERCIAL"/>
    <n v="23920000"/>
    <x v="13"/>
    <s v=""/>
    <n v="23920000"/>
    <s v=""/>
    <s v=""/>
    <m/>
  </r>
  <r>
    <s v="18444"/>
    <s v="VILLAVICENCIO"/>
    <x v="4"/>
    <s v=""/>
    <s v="CENTRAL MINORISTA DE ABASTOS DE VILLAVICENCIO - CEMERCA Local G0610"/>
    <s v="0"/>
    <s v="0"/>
    <s v="COMERCIALIZABLE"/>
    <s v="COMERCIAL"/>
    <n v="23920000"/>
    <x v="13"/>
    <s v=""/>
    <n v="23920000"/>
    <s v=""/>
    <s v=""/>
    <m/>
  </r>
  <r>
    <s v="18848"/>
    <s v="CARTAGENA"/>
    <x v="8"/>
    <s v=""/>
    <s v="KILÓMETRO 4  DE LA VÍA MAMONAL  CARRERA 56, #60D-240, #60D-170, BODEGA 23 BARRIO ARROZ BARATO SECTOR PUERTA DE HIERRO"/>
    <s v="0"/>
    <s v="0"/>
    <s v="COMERCIALIZABLE CON RESTRICCION"/>
    <s v="INDUSTRIAL"/>
    <n v="1262902000"/>
    <x v="5"/>
    <s v="ESTE PORCENTAJE DE PROPIEDAD SE VENDE JUNTO CON OTROS 14 QUE CORRESPONDEN A BODEGAS UBICADAS EN LA  MISMA ZONA, POR UN PRECIO MINIMO DE VENTA DE $280,772,600,"/>
    <n v="1262902000"/>
    <s v=""/>
    <s v=""/>
    <m/>
  </r>
  <r>
    <s v="18114"/>
    <s v="VILLAVICENCIO"/>
    <x v="4"/>
    <s v=""/>
    <s v="CENTRAL MINORISTA DE ABASTOS DE VILLAVICENCIO - CEMERCA Local A0812"/>
    <s v="0"/>
    <s v="0"/>
    <s v="COMERCIALIZABLE"/>
    <s v="COMERCIAL"/>
    <n v="23517000"/>
    <x v="13"/>
    <s v=""/>
    <n v="23517000"/>
    <s v=""/>
    <s v=""/>
    <m/>
  </r>
  <r>
    <s v="18148"/>
    <s v="VILLAVICENCIO"/>
    <x v="4"/>
    <s v=""/>
    <s v="CENTRAL MINORISTA DE ABASTOS DE VILLAVICENCIO - CEMERCA Local A2111"/>
    <s v="0"/>
    <s v="0"/>
    <s v="EN PUJA"/>
    <s v="COMERCIAL"/>
    <n v="23517000"/>
    <x v="13"/>
    <s v=""/>
    <n v="23517000"/>
    <s v=""/>
    <s v=""/>
    <m/>
  </r>
  <r>
    <s v="18149"/>
    <s v="VILLAVICENCIO"/>
    <x v="4"/>
    <s v=""/>
    <s v="CENTRAL MINORISTA DE ABASTOS DE VILLAVICENCIO - CEMERCA Local A2112"/>
    <s v="0"/>
    <s v="0"/>
    <s v="EN PUJA"/>
    <s v="COMERCIAL"/>
    <n v="23517000"/>
    <x v="13"/>
    <s v=""/>
    <n v="23517000"/>
    <s v=""/>
    <s v=""/>
    <m/>
  </r>
  <r>
    <s v="18838"/>
    <s v="CARTAGENA"/>
    <x v="8"/>
    <s v=""/>
    <s v="KILÓMETRO 4  DE LA VÍA MAMONAL  CARRERA 56, #60D-240, #60D-170, BODEGA 2 BARRIO ARROZ BARATO SECTOR PUERTA DE HIERRO"/>
    <s v="0"/>
    <s v="0"/>
    <s v="COMERCIALIZABLE CON RESTRICCION"/>
    <s v="INDUSTRIAL"/>
    <n v="1247230000"/>
    <x v="5"/>
    <s v="ESTE PORCENTAJE DE PROPIEDAD SE VENDE JUNTO CON OTROS 14 QUE CORRESPONDEN A BODEGAS UBICADAS EN LA  MISMA ZONA, POR UN PRECIO MINIMO DE VENTA DE $280,772,600,"/>
    <n v="1247230000"/>
    <s v=""/>
    <s v=""/>
    <m/>
  </r>
  <r>
    <s v="18432"/>
    <s v="VILLAVICENCIO"/>
    <x v="4"/>
    <s v=""/>
    <s v="CENTRAL MINORISTA DE ABASTOS DE VILLAVICENCIO - CEMERCA Local G0512"/>
    <s v="0"/>
    <s v="0"/>
    <s v="COMERCIALIZABLE"/>
    <s v="COMERCIAL"/>
    <n v="23250500"/>
    <x v="13"/>
    <s v=""/>
    <n v="23250500"/>
    <s v=""/>
    <s v=""/>
    <m/>
  </r>
  <r>
    <s v="18839"/>
    <s v="CARTAGENA"/>
    <x v="8"/>
    <s v=""/>
    <s v="KILÓMETRO 4  DE LA VÍA MAMONAL  CARRERA 56, #60D-240, #60D-170, BODEGA 3 BARRIO ARROZ BARATO SECTOR PUERTA DE HIERRO"/>
    <s v="0"/>
    <s v="0"/>
    <s v="COMERCIALIZABLE CON RESTRICCION"/>
    <s v="INDUSTRIAL"/>
    <n v="1223722000"/>
    <x v="5"/>
    <s v="ESTE PORCENTAJE DE PROPIEDAD SE VENDE JUNTO CON OTROS 14 QUE CORRESPONDEN A BODEGAS UBICADAS EN LA  MISMA ZONA, POR UN PRECIO MINIMO DE VENTA DE $280,772,600,"/>
    <n v="1223722000"/>
    <s v=""/>
    <s v=""/>
    <m/>
  </r>
  <r>
    <s v="18851"/>
    <s v="CARTAGENA"/>
    <x v="8"/>
    <s v=""/>
    <s v="KILÓMETRO 4  DE LA VÍA MAMONAL  CARRERA 56, #60D-240, #60D-170, BODEGA 25 BARRIO ARROZ BARATO SECTOR PUERTA DE HIERRO"/>
    <s v="0"/>
    <s v="0"/>
    <s v="COMERCIALIZABLE CON RESTRICCION"/>
    <s v="COMERCIAL"/>
    <n v="1221390000"/>
    <x v="5"/>
    <s v="ESTE PORCENTAJE DE PROPIEDAD SE VENDE JUNTO CON OTROS 14 QUE CORRESPONDEN A BODEGAS UBICADAS EN LA  MISMA ZONA, POR UN PRECIO MINIMO DE VENTA DE $280,772,600,"/>
    <n v="1221390000"/>
    <s v=""/>
    <s v=""/>
    <m/>
  </r>
  <r>
    <s v="18513"/>
    <s v="VILLAVICENCIO"/>
    <x v="4"/>
    <s v=""/>
    <s v="CENTRAL MINORISTA DE ABASTOS DE VILLAVICENCIO - CEMERCA Local G1421"/>
    <s v="0"/>
    <s v="0"/>
    <s v="COMERCIALIZABLE"/>
    <s v="COMERCIAL"/>
    <n v="22295000"/>
    <x v="13"/>
    <s v=""/>
    <n v="22295000"/>
    <s v=""/>
    <s v=""/>
    <m/>
  </r>
  <r>
    <s v="18146"/>
    <s v="VILLAVICENCIO"/>
    <x v="4"/>
    <s v=""/>
    <s v="CENTRAL MINORISTA DE ABASTOS DE VILLAVICENCIO - CEMERCA Local A2101"/>
    <s v="0"/>
    <s v="0"/>
    <s v="COMERCIALIZABLE"/>
    <s v="COMERCIAL"/>
    <n v="21708000"/>
    <x v="13"/>
    <s v=""/>
    <n v="21708000"/>
    <s v=""/>
    <s v=""/>
    <m/>
  </r>
  <r>
    <s v="18150"/>
    <s v="VILLAVICENCIO"/>
    <x v="4"/>
    <s v=""/>
    <s v="CENTRAL MINORISTA DE ABASTOS DE VILLAVICENCIO - CEMERCA Local A2201"/>
    <s v="0"/>
    <s v="0"/>
    <s v="COMERCIALIZABLE"/>
    <s v="COMERCIAL"/>
    <n v="21708000"/>
    <x v="13"/>
    <s v=""/>
    <n v="21708000"/>
    <s v=""/>
    <s v=""/>
    <m/>
  </r>
  <r>
    <s v="18154"/>
    <s v="VILLAVICENCIO"/>
    <x v="4"/>
    <s v=""/>
    <s v="CENTRAL MINORISTA DE ABASTOS DE VILLAVICENCIO - CEMERCA Local A2222"/>
    <s v="0"/>
    <s v="0"/>
    <s v="COMERCIALIZABLE"/>
    <s v="COMERCIAL"/>
    <n v="21708000"/>
    <x v="13"/>
    <s v=""/>
    <n v="21708000"/>
    <s v=""/>
    <s v=""/>
    <m/>
  </r>
  <r>
    <s v="18530"/>
    <s v="VILLAVICENCIO"/>
    <x v="4"/>
    <s v=""/>
    <s v="CENTRAL MINORISTA DE ABASTOS DE VILLAVICENCIO - CEMERCA Local R0603"/>
    <s v="0"/>
    <s v="0"/>
    <s v="EN PUJA"/>
    <s v="COMERCIAL"/>
    <n v="21316750"/>
    <x v="13"/>
    <s v=""/>
    <n v="21316750"/>
    <s v=""/>
    <s v=""/>
    <m/>
  </r>
  <r>
    <s v="18507"/>
    <s v="VILLAVICENCIO"/>
    <x v="4"/>
    <s v=""/>
    <s v="CENTRAL MINORISTA DE ABASTOS DE VILLAVICENCIO - CEMERCA Local G1401"/>
    <s v="0"/>
    <s v="0"/>
    <s v="COMERCIALIZABLE"/>
    <s v="COMERCIAL"/>
    <n v="21168000"/>
    <x v="13"/>
    <s v=""/>
    <n v="21168000"/>
    <s v=""/>
    <s v=""/>
    <m/>
  </r>
  <r>
    <s v="18847"/>
    <s v="CARTAGENA"/>
    <x v="8"/>
    <s v=""/>
    <s v="KILÓMETRO 4  DE LA VÍA MAMONAL  CARRERA 56, #60D-240, #60D-170, BODEGA 22 BARRIO ARROZ BARATO SECTOR PUERTA DE HIERRO"/>
    <s v="0"/>
    <s v="0"/>
    <s v="COMERCIALIZABLE CON RESTRICCION"/>
    <s v="INDUSTRIAL"/>
    <n v="1115324000"/>
    <x v="5"/>
    <s v="ESTE PORCENTAJE DE PROPIEDAD SE VENDE JUNTO CON OTROS 14 QUE CORRESPONDEN A BODEGAS UBICADAS EN LA  MISMA ZONA, POR UN PRECIO MINIMO DE VENTA DE $280,772,600,"/>
    <n v="1115324000"/>
    <s v=""/>
    <s v=""/>
    <m/>
  </r>
  <r>
    <s v="18511"/>
    <s v="VILLAVICENCIO"/>
    <x v="4"/>
    <s v=""/>
    <s v="CENTRAL MINORISTA DE ABASTOS DE VILLAVICENCIO - CEMERCA Local G1411"/>
    <s v="0"/>
    <s v="0"/>
    <s v="COMERCIALIZABLE"/>
    <s v="COMERCIAL"/>
    <n v="20874000"/>
    <x v="13"/>
    <s v=""/>
    <n v="20874000"/>
    <s v=""/>
    <s v=""/>
    <m/>
  </r>
  <r>
    <s v="19334"/>
    <s v="TARAZA"/>
    <x v="5"/>
    <s v=""/>
    <s v="LETICIA 21 - PIEDRA BRAVA"/>
    <s v="0"/>
    <s v="0"/>
    <s v="COMERCIALIZABLE TERCEROS"/>
    <s v="RURAL"/>
    <n v="20381660"/>
    <x v="14"/>
    <s v="INMUEBLE UBICADO EN EL CORREGIMIENTO DE LA CAUCANA, VEREDA PIEDRA BRAVA DEL MUNICIPIO DE TARAZÁ, LOTE DE TERRENO RURAL AGROPECUARIO, CON CULTIVO DE CAUCHO EL INMUEBLE SE ENCUENTRA CLASIFICADO DENTRO DEL SUELO RURAL DEL MUNICIPIO, EN ZONA DE INCENTIVO"/>
    <n v="20381660"/>
    <s v=""/>
    <s v=""/>
    <m/>
  </r>
  <r>
    <s v="18510"/>
    <s v="VILLAVICENCIO"/>
    <x v="4"/>
    <s v=""/>
    <s v="CENTRAL MINORISTA DE ABASTOS DE VILLAVICENCIO - CEMERCA Local G1410"/>
    <s v="0"/>
    <s v="0"/>
    <s v="COMERCIALIZABLE"/>
    <s v="COMERCIAL"/>
    <n v="20310500"/>
    <x v="13"/>
    <s v=""/>
    <n v="20310500"/>
    <s v=""/>
    <s v=""/>
    <m/>
  </r>
  <r>
    <s v="17798"/>
    <s v="PEREIRA"/>
    <x v="6"/>
    <s v=""/>
    <s v="CALLES 18 Y 19  CARRERAS 5 Y 6  SALIDA CARRERA 5  No, 18 - 43 / CARRERA 5  CALLES 18 Y 19  No, 18 - 49 / CALLE 19 No, 5 - 33  ED CLINICA RISARALDA"/>
    <s v="0"/>
    <s v="0"/>
    <s v="COMERCIALIZABLE CON RESTRICCION"/>
    <s v="CINCO"/>
    <n v="3931747250"/>
    <x v="6"/>
    <s v=""/>
    <n v="3931747250"/>
    <s v=""/>
    <s v=""/>
    <m/>
  </r>
  <r>
    <s v="18415"/>
    <s v="VILLAVICENCIO"/>
    <x v="4"/>
    <s v=""/>
    <s v="CENTRAL MINORISTA DE ABASTOS DE VILLAVICENCIO - CEMERCA Local G0315"/>
    <s v="0"/>
    <s v="0"/>
    <s v="COMERCIALIZABLE"/>
    <s v="COMERCIAL"/>
    <n v="19918500"/>
    <x v="13"/>
    <s v=""/>
    <n v="19918500"/>
    <s v=""/>
    <s v=""/>
    <m/>
  </r>
  <r>
    <s v="18290"/>
    <s v="VILLAVICENCIO"/>
    <x v="4"/>
    <s v=""/>
    <s v="CENTRAL MINORISTA DE ABASTOS DE VILLAVICENCIO - CEMERCA Local A3821"/>
    <s v="0"/>
    <s v="0"/>
    <s v="COMERCIALIZABLE"/>
    <s v="COMERCIAL"/>
    <n v="19832000"/>
    <x v="13"/>
    <s v=""/>
    <n v="19832000"/>
    <s v=""/>
    <s v=""/>
    <m/>
  </r>
  <r>
    <s v="18512"/>
    <s v="VILLAVICENCIO"/>
    <x v="4"/>
    <s v=""/>
    <s v="CENTRAL MINORISTA DE ABASTOS DE VILLAVICENCIO - CEMERCA Local G1419"/>
    <s v="0"/>
    <s v="0"/>
    <s v="COMERCIALIZABLE"/>
    <s v="COMERCIAL"/>
    <n v="19596000"/>
    <x v="13"/>
    <s v=""/>
    <n v="19596000"/>
    <s v=""/>
    <s v=""/>
    <m/>
  </r>
  <r>
    <s v="18508"/>
    <s v="VILLAVICENCIO"/>
    <x v="4"/>
    <s v=""/>
    <s v="CENTRAL MINORISTA DE ABASTOS DE VILLAVICENCIO - CEMERCA Local G1402"/>
    <s v="0"/>
    <s v="0"/>
    <s v="COMERCIALIZABLE"/>
    <s v="COMERCIAL"/>
    <n v="19067000"/>
    <x v="13"/>
    <s v=""/>
    <n v="19067000"/>
    <s v=""/>
    <s v=""/>
    <m/>
  </r>
  <r>
    <s v="18509"/>
    <s v="VILLAVICENCIO"/>
    <x v="4"/>
    <s v=""/>
    <s v="CENTRAL MINORISTA DE ABASTOS DE VILLAVICENCIO - CEMERCA Local G1403"/>
    <s v="0"/>
    <s v="0"/>
    <s v="COMERCIALIZABLE"/>
    <s v="COMERCIAL"/>
    <n v="19067000"/>
    <x v="13"/>
    <s v=""/>
    <n v="19067000"/>
    <s v=""/>
    <s v=""/>
    <m/>
  </r>
  <r>
    <s v="17353"/>
    <s v="PEREIRA"/>
    <x v="6"/>
    <s v="AV 30 DE AGOSTO"/>
    <s v="CLL 69 O ACEESO A CUBA AV,  30 DE AGOSTO LOTE 16"/>
    <s v="0"/>
    <s v="0"/>
    <s v="COMERCIALIZABLE CON RESTRICCION"/>
    <s v="CUATRO"/>
    <n v="1906243515"/>
    <x v="1"/>
    <s v=""/>
    <n v="1906243515"/>
    <s v=""/>
    <s v=""/>
    <m/>
  </r>
  <r>
    <s v="18478"/>
    <s v="VILLAVICENCIO"/>
    <x v="4"/>
    <s v=""/>
    <s v="CENTRAL MINORISTA DE ABASTOS DE VILLAVICENCIO - CEMERCA Local G1003"/>
    <s v="0"/>
    <s v="0"/>
    <s v="COMERCIALIZABLE"/>
    <s v="COMERCIAL"/>
    <n v="18446000"/>
    <x v="13"/>
    <s v=""/>
    <n v="18446000"/>
    <s v=""/>
    <s v=""/>
    <m/>
  </r>
  <r>
    <s v="18846"/>
    <s v="CARTAGENA"/>
    <x v="8"/>
    <s v=""/>
    <s v="KILÓMETRO 4  DE LA VÍA MAMONAL  CARRERA 56, #60D-240, #60D-170, BODEGA 21 BARRIO ARROZ BARATO SECTOR PUERTA DE HIERRO"/>
    <s v="0"/>
    <s v="0"/>
    <s v="COMERCIALIZABLE CON RESTRICCION"/>
    <s v="INDUSTRIAL"/>
    <n v="970358000"/>
    <x v="5"/>
    <s v="ESTE PORCENTAJE DE PROPIEDAD SE VENDE JUNTO CON OTROS 14 QUE CORRESPONDEN A BODEGAS UBICADAS EN LA  MISMA ZONA, POR UN PRECIO MINIMO DE VENTA DE $280,772,600,"/>
    <n v="970358000"/>
    <s v=""/>
    <s v=""/>
    <m/>
  </r>
  <r>
    <s v="18421"/>
    <s v="VILLAVICENCIO"/>
    <x v="4"/>
    <s v=""/>
    <s v="CENTRAL MINORISTA DE ABASTOS DE VILLAVICENCIO - CEMERCA Local G0402"/>
    <s v="0"/>
    <s v="0"/>
    <s v="COMERCIALIZABLE"/>
    <s v="COMERCIAL"/>
    <n v="18252500"/>
    <x v="13"/>
    <s v=""/>
    <n v="18252500"/>
    <s v=""/>
    <s v=""/>
    <m/>
  </r>
  <r>
    <s v="18273"/>
    <s v="VILLAVICENCIO"/>
    <x v="4"/>
    <s v=""/>
    <s v="CENTRAL MINORISTA DE ABASTOS DE VILLAVICENCIO - CEMERCA Local A3601"/>
    <s v="0"/>
    <s v="0"/>
    <s v="COMERCIALIZABLE"/>
    <s v="COMERCIAL"/>
    <n v="18228000"/>
    <x v="13"/>
    <s v=""/>
    <n v="18228000"/>
    <s v=""/>
    <s v=""/>
    <m/>
  </r>
  <r>
    <s v="18450"/>
    <s v="VILLAVICENCIO"/>
    <x v="4"/>
    <s v=""/>
    <s v="CENTRAL MINORISTA DE ABASTOS DE VILLAVICENCIO - CEMERCA Local G0710"/>
    <s v="0"/>
    <s v="0"/>
    <s v="COMERCIALIZABLE"/>
    <s v="COMERCIAL"/>
    <n v="18203500"/>
    <x v="13"/>
    <s v=""/>
    <n v="18203500"/>
    <s v=""/>
    <s v=""/>
    <m/>
  </r>
  <r>
    <s v="18413"/>
    <s v="VILLAVICENCIO"/>
    <x v="4"/>
    <s v=""/>
    <s v="CENTRAL MINORISTA DE ABASTOS DE VILLAVICENCIO - CEMERCA Local G0301"/>
    <s v="0"/>
    <s v="0"/>
    <s v="COMERCIALIZABLE"/>
    <s v="COMERCIAL"/>
    <n v="18007500"/>
    <x v="13"/>
    <s v=""/>
    <n v="18007500"/>
    <s v=""/>
    <s v=""/>
    <m/>
  </r>
  <r>
    <s v="18468"/>
    <s v="VILLAVICENCIO"/>
    <x v="4"/>
    <s v=""/>
    <s v="CENTRAL MINORISTA DE ABASTOS DE VILLAVICENCIO - CEMERCA Local G0901"/>
    <s v="0"/>
    <s v="0"/>
    <s v="EN PUJA"/>
    <s v="COMERCIAL"/>
    <n v="17566500"/>
    <x v="13"/>
    <s v=""/>
    <n v="17566500"/>
    <s v=""/>
    <s v=""/>
    <m/>
  </r>
  <r>
    <s v="18475"/>
    <s v="VILLAVICENCIO"/>
    <x v="4"/>
    <s v=""/>
    <s v="CENTRAL MINORISTA DE ABASTOS DE VILLAVICENCIO - CEMERCA Local G0922"/>
    <s v="0"/>
    <s v="0"/>
    <s v="COMERCIALIZABLE"/>
    <s v="COMERCIAL"/>
    <n v="17566500"/>
    <x v="13"/>
    <s v=""/>
    <n v="17566500"/>
    <s v=""/>
    <s v=""/>
    <m/>
  </r>
  <r>
    <s v="18845"/>
    <s v="CARTAGENA"/>
    <x v="8"/>
    <s v=""/>
    <s v="KILÓMETRO 4  DE LA VÍA MAMONAL  CARRERA 56, #60D-240, #60D-170, BODEGA 20 BARRIO ARROZ BARATO SECTOR PUERTA DE HIERRO"/>
    <s v="0"/>
    <s v="0"/>
    <s v="COMERCIALIZABLE CON RESTRICCION"/>
    <s v="INDUSTRIAL"/>
    <n v="925954000"/>
    <x v="5"/>
    <s v="ESTE PORCENTAJE DE PROPIEDAD SE VENDE JUNTO CON OTROS 14 QUE CORRESPONDEN A BODEGAS UBICADAS EN LA  MISMA ZONA, POR UN PRECIO MINIMO DE VENTA DE $280,772,600,"/>
    <n v="925954000"/>
    <s v=""/>
    <s v=""/>
    <m/>
  </r>
  <r>
    <s v="18423"/>
    <s v="VILLAVICENCIO"/>
    <x v="4"/>
    <s v=""/>
    <s v="CENTRAL MINORISTA DE ABASTOS DE VILLAVICENCIO - CEMERCA Local G0404"/>
    <s v="0"/>
    <s v="0"/>
    <s v="COMERCIALIZABLE"/>
    <s v="COMERCIAL"/>
    <n v="17419500"/>
    <x v="13"/>
    <s v=""/>
    <n v="17419500"/>
    <s v=""/>
    <s v=""/>
    <m/>
  </r>
  <r>
    <s v="18503"/>
    <s v="VILLAVICENCIO"/>
    <x v="4"/>
    <s v=""/>
    <s v="CENTRAL MINORISTA DE ABASTOS DE VILLAVICENCIO - CEMERCA Local G1312"/>
    <s v="0"/>
    <s v="0"/>
    <s v="COMERCIALIZABLE"/>
    <s v="COMERCIAL"/>
    <n v="17419500"/>
    <x v="13"/>
    <s v=""/>
    <n v="17419500"/>
    <s v=""/>
    <s v=""/>
    <m/>
  </r>
  <r>
    <s v="18416"/>
    <s v="VILLAVICENCIO"/>
    <x v="4"/>
    <s v=""/>
    <s v="CENTRAL MINORISTA DE ABASTOS DE VILLAVICENCIO - CEMERCA Local G0316"/>
    <s v="0"/>
    <s v="0"/>
    <s v="COMERCIALIZABLE"/>
    <s v="COMERCIAL"/>
    <n v="17223500"/>
    <x v="13"/>
    <s v=""/>
    <n v="17223500"/>
    <s v=""/>
    <s v=""/>
    <m/>
  </r>
  <r>
    <s v="18130"/>
    <s v="VILLAVICENCIO"/>
    <x v="4"/>
    <s v=""/>
    <s v="CENTRAL MINORISTA DE ABASTOS DE VILLAVICENCIO - CEMERCA Local A1111"/>
    <s v="0"/>
    <s v="0"/>
    <s v="COMERCIALIZABLE"/>
    <s v="COMERCIAL"/>
    <n v="17199000"/>
    <x v="13"/>
    <s v=""/>
    <n v="17199000"/>
    <s v=""/>
    <s v=""/>
    <m/>
  </r>
  <r>
    <s v="18187"/>
    <s v="VILLAVICENCIO"/>
    <x v="4"/>
    <s v=""/>
    <s v="CENTRAL MINORISTA DE ABASTOS DE VILLAVICENCIO - CEMERCA Local A2812"/>
    <s v="0"/>
    <s v="0"/>
    <s v="COMERCIALIZABLE"/>
    <s v="COMERCIAL"/>
    <n v="17199000"/>
    <x v="13"/>
    <s v=""/>
    <n v="17199000"/>
    <s v=""/>
    <s v=""/>
    <m/>
  </r>
  <r>
    <s v="18205"/>
    <s v="VILLAVICENCIO"/>
    <x v="4"/>
    <s v=""/>
    <s v="CENTRAL MINORISTA DE ABASTOS DE VILLAVICENCIO - CEMERCA Local A2911"/>
    <s v="0"/>
    <s v="0"/>
    <s v="COMERCIALIZABLE"/>
    <s v="COMERCIAL"/>
    <n v="17199000"/>
    <x v="13"/>
    <s v=""/>
    <n v="17199000"/>
    <s v=""/>
    <s v=""/>
    <m/>
  </r>
  <r>
    <s v="18206"/>
    <s v="VILLAVICENCIO"/>
    <x v="4"/>
    <s v=""/>
    <s v="CENTRAL MINORISTA DE ABASTOS DE VILLAVICENCIO - CEMERCA Local A2912"/>
    <s v="0"/>
    <s v="0"/>
    <s v="COMERCIALIZABLE"/>
    <s v="COMERCIAL"/>
    <n v="17199000"/>
    <x v="13"/>
    <s v=""/>
    <n v="17199000"/>
    <s v=""/>
    <s v=""/>
    <m/>
  </r>
  <r>
    <s v="18221"/>
    <s v="VILLAVICENCIO"/>
    <x v="4"/>
    <s v=""/>
    <s v="CENTRAL MINORISTA DE ABASTOS DE VILLAVICENCIO - CEMERCA Local A3012"/>
    <s v="0"/>
    <s v="0"/>
    <s v="COMERCIALIZABLE"/>
    <s v="COMERCIAL"/>
    <n v="17199000"/>
    <x v="13"/>
    <s v=""/>
    <n v="17199000"/>
    <s v=""/>
    <s v=""/>
    <m/>
  </r>
  <r>
    <s v="18145"/>
    <s v="VILLAVICENCIO"/>
    <x v="4"/>
    <s v=""/>
    <s v="CENTRAL MINORISTA DE ABASTOS DE VILLAVICENCIO - CEMERCA Local A2030"/>
    <s v="0"/>
    <s v="0"/>
    <s v="COMERCIALIZABLE"/>
    <s v="COMERCIAL"/>
    <n v="17150000"/>
    <x v="13"/>
    <s v=""/>
    <n v="17150000"/>
    <s v=""/>
    <s v=""/>
    <m/>
  </r>
  <r>
    <s v="18174"/>
    <s v="VILLAVICENCIO"/>
    <x v="4"/>
    <s v=""/>
    <s v="CENTRAL MINORISTA DE ABASTOS DE VILLAVICENCIO - CEMERCA Local A2420"/>
    <s v="0"/>
    <s v="0"/>
    <s v="COMERCIALIZABLE"/>
    <s v="COMERCIAL"/>
    <n v="17120000"/>
    <x v="13"/>
    <s v=""/>
    <n v="17120000"/>
    <s v=""/>
    <s v=""/>
    <m/>
  </r>
  <r>
    <s v="18995"/>
    <s v="MEDELLIN"/>
    <x v="5"/>
    <s v=""/>
    <s v="CL 48  No, 53 - 39 C,C, JAPON INT, 0934"/>
    <s v="0"/>
    <s v="0"/>
    <s v="EN PUJA"/>
    <s v="COMERCIAL"/>
    <n v="1102570639"/>
    <x v="13"/>
    <s v="GRAN OPORTUNIDAD DE INVERSIÓN LOCAL EN CL, CL 48 NO, 53 - 39 C,C, JAPÓN INT, 0934 DONDE SE ARTICULAN ACTIVIDADES COMERCIALES, CENTROS COMERCIALES, TIENDAS, EXCELENTES PERSPECTIVAS DE VALORIZACIÓN, MUY BUENAS VÍAS DE ACCESO,"/>
    <n v="1102570639"/>
    <s v=""/>
    <s v=""/>
    <m/>
  </r>
  <r>
    <s v="18452"/>
    <s v="VILLAVICENCIO"/>
    <x v="4"/>
    <s v=""/>
    <s v="CENTRAL MINORISTA DE ABASTOS DE VILLAVICENCIO - CEMERCA Local G0802"/>
    <s v="0"/>
    <s v="0"/>
    <s v="EN PUJA"/>
    <s v="COMERCIAL"/>
    <n v="16997000"/>
    <x v="13"/>
    <s v=""/>
    <n v="16997000"/>
    <s v=""/>
    <s v=""/>
    <m/>
  </r>
  <r>
    <s v="18466"/>
    <s v="VILLAVICENCIO"/>
    <x v="4"/>
    <s v=""/>
    <s v="CENTRAL MINORISTA DE ABASTOS DE VILLAVICENCIO - CEMERCA Local G0818"/>
    <s v="0"/>
    <s v="0"/>
    <s v="COMERCIALIZABLE"/>
    <s v="COMERCIAL"/>
    <n v="16997000"/>
    <x v="13"/>
    <s v=""/>
    <n v="16997000"/>
    <s v=""/>
    <s v=""/>
    <m/>
  </r>
  <r>
    <s v="18471"/>
    <s v="VILLAVICENCIO"/>
    <x v="4"/>
    <s v=""/>
    <s v="CENTRAL MINORISTA DE ABASTOS DE VILLAVICENCIO - CEMERCA Local G0908"/>
    <s v="0"/>
    <s v="0"/>
    <s v="COMERCIALIZABLE"/>
    <s v="COMERCIAL"/>
    <n v="16537000"/>
    <x v="13"/>
    <s v=""/>
    <n v="16537000"/>
    <s v=""/>
    <s v=""/>
    <m/>
  </r>
  <r>
    <s v="18483"/>
    <s v="VILLAVICENCIO"/>
    <x v="4"/>
    <s v=""/>
    <s v="CENTRAL MINORISTA DE ABASTOS DE VILLAVICENCIO - CEMERCA Local G1008"/>
    <s v="0"/>
    <s v="0"/>
    <s v="COMERCIALIZABLE"/>
    <s v="COMERCIAL"/>
    <n v="16491000"/>
    <x v="13"/>
    <s v=""/>
    <n v="16491000"/>
    <s v=""/>
    <s v=""/>
    <m/>
  </r>
  <r>
    <s v="18448"/>
    <s v="VILLAVICENCIO"/>
    <x v="4"/>
    <s v=""/>
    <s v="CENTRAL MINORISTA DE ABASTOS DE VILLAVICENCIO - CEMERCA Local G0706"/>
    <s v="0"/>
    <s v="0"/>
    <s v="COMERCIALIZABLE"/>
    <s v="COMERCIAL"/>
    <n v="16415000"/>
    <x v="13"/>
    <s v=""/>
    <n v="16415000"/>
    <s v=""/>
    <s v=""/>
    <m/>
  </r>
  <r>
    <s v="18414"/>
    <s v="VILLAVICENCIO"/>
    <x v="4"/>
    <s v=""/>
    <s v="CENTRAL MINORISTA DE ABASTOS DE VILLAVICENCIO - CEMERCA Local G0302"/>
    <s v="0"/>
    <s v="0"/>
    <s v="COMERCIALIZABLE"/>
    <s v="COMERCIAL"/>
    <n v="16169000"/>
    <x v="13"/>
    <s v=""/>
    <n v="16169000"/>
    <s v=""/>
    <s v=""/>
    <m/>
  </r>
  <r>
    <s v="18417"/>
    <s v="VILLAVICENCIO"/>
    <x v="4"/>
    <s v=""/>
    <s v="CENTRAL MINORISTA DE ABASTOS DE VILLAVICENCIO - CEMERCA Local G0326"/>
    <s v="0"/>
    <s v="0"/>
    <s v="COMERCIALIZABLE"/>
    <s v="COMERCIAL"/>
    <n v="16169000"/>
    <x v="13"/>
    <s v=""/>
    <n v="16169000"/>
    <s v=""/>
    <s v=""/>
    <m/>
  </r>
  <r>
    <s v="18418"/>
    <s v="VILLAVICENCIO"/>
    <x v="4"/>
    <s v=""/>
    <s v="CENTRAL MINORISTA DE ABASTOS DE VILLAVICENCIO - CEMERCA Local G0327"/>
    <s v="0"/>
    <s v="0"/>
    <s v="COMERCIALIZABLE"/>
    <s v="COMERCIAL"/>
    <n v="16169000"/>
    <x v="13"/>
    <s v=""/>
    <n v="16169000"/>
    <s v=""/>
    <s v=""/>
    <m/>
  </r>
  <r>
    <s v="18425"/>
    <s v="VILLAVICENCIO"/>
    <x v="4"/>
    <s v=""/>
    <s v="CENTRAL MINORISTA DE ABASTOS DE VILLAVICENCIO - CEMERCA Local G0504"/>
    <s v="0"/>
    <s v="0"/>
    <s v="COMERCIALIZABLE"/>
    <s v="COMERCIAL"/>
    <n v="16169000"/>
    <x v="13"/>
    <s v=""/>
    <n v="16169000"/>
    <s v=""/>
    <s v=""/>
    <m/>
  </r>
  <r>
    <s v="18426"/>
    <s v="VILLAVICENCIO"/>
    <x v="4"/>
    <s v=""/>
    <s v="CENTRAL MINORISTA DE ABASTOS DE VILLAVICENCIO - CEMERCA Local G0506"/>
    <s v="0"/>
    <s v="0"/>
    <s v="COMERCIALIZABLE"/>
    <s v="COMERCIAL"/>
    <n v="16169000"/>
    <x v="13"/>
    <s v=""/>
    <n v="16169000"/>
    <s v=""/>
    <s v=""/>
    <m/>
  </r>
  <r>
    <s v="18427"/>
    <s v="VILLAVICENCIO"/>
    <x v="4"/>
    <s v=""/>
    <s v="CENTRAL MINORISTA DE ABASTOS DE VILLAVICENCIO - CEMERCA Local G0507"/>
    <s v="0"/>
    <s v="0"/>
    <s v="COMERCIALIZABLE"/>
    <s v="COMERCIAL"/>
    <n v="16169000"/>
    <x v="13"/>
    <s v=""/>
    <n v="16169000"/>
    <s v=""/>
    <s v=""/>
    <m/>
  </r>
  <r>
    <s v="18428"/>
    <s v="VILLAVICENCIO"/>
    <x v="4"/>
    <s v=""/>
    <s v="CENTRAL MINORISTA DE ABASTOS DE VILLAVICENCIO - CEMERCA Local G0508"/>
    <s v="0"/>
    <s v="0"/>
    <s v="COMERCIALIZABLE"/>
    <s v="COMERCIAL"/>
    <n v="16169000"/>
    <x v="13"/>
    <s v=""/>
    <n v="16169000"/>
    <s v=""/>
    <s v=""/>
    <m/>
  </r>
  <r>
    <s v="18429"/>
    <s v="VILLAVICENCIO"/>
    <x v="4"/>
    <s v=""/>
    <s v="CENTRAL MINORISTA DE ABASTOS DE VILLAVICENCIO - CEMERCA Local G0509"/>
    <s v="0"/>
    <s v="0"/>
    <s v="COMERCIALIZABLE"/>
    <s v="COMERCIAL"/>
    <n v="16169000"/>
    <x v="13"/>
    <s v=""/>
    <n v="16169000"/>
    <s v=""/>
    <s v=""/>
    <m/>
  </r>
  <r>
    <s v="18430"/>
    <s v="VILLAVICENCIO"/>
    <x v="4"/>
    <s v=""/>
    <s v="CENTRAL MINORISTA DE ABASTOS DE VILLAVICENCIO - CEMERCA Local G0510"/>
    <s v="0"/>
    <s v="0"/>
    <s v="COMERCIALIZABLE"/>
    <s v="COMERCIAL"/>
    <n v="16169000"/>
    <x v="13"/>
    <s v=""/>
    <n v="16169000"/>
    <s v=""/>
    <s v=""/>
    <m/>
  </r>
  <r>
    <s v="18431"/>
    <s v="VILLAVICENCIO"/>
    <x v="4"/>
    <s v=""/>
    <s v="CENTRAL MINORISTA DE ABASTOS DE VILLAVICENCIO - CEMERCA Local G0511"/>
    <s v="0"/>
    <s v="0"/>
    <s v="COMERCIALIZABLE"/>
    <s v="COMERCIAL"/>
    <n v="16169000"/>
    <x v="13"/>
    <s v=""/>
    <n v="16169000"/>
    <s v=""/>
    <s v=""/>
    <m/>
  </r>
  <r>
    <s v="18434"/>
    <s v="VILLAVICENCIO"/>
    <x v="4"/>
    <s v=""/>
    <s v="CENTRAL MINORISTA DE ABASTOS DE VILLAVICENCIO - CEMERCA Local G0515"/>
    <s v="0"/>
    <s v="0"/>
    <s v="COMERCIALIZABLE"/>
    <s v="COMERCIAL"/>
    <n v="16169000"/>
    <x v="13"/>
    <s v=""/>
    <n v="16169000"/>
    <s v=""/>
    <s v=""/>
    <m/>
  </r>
  <r>
    <s v="18435"/>
    <s v="VILLAVICENCIO"/>
    <x v="4"/>
    <s v=""/>
    <s v="CENTRAL MINORISTA DE ABASTOS DE VILLAVICENCIO - CEMERCA Local G0516"/>
    <s v="0"/>
    <s v="0"/>
    <s v="COMERCIALIZABLE"/>
    <s v="COMERCIAL"/>
    <n v="16169000"/>
    <x v="13"/>
    <s v=""/>
    <n v="16169000"/>
    <s v=""/>
    <s v=""/>
    <m/>
  </r>
  <r>
    <s v="18436"/>
    <s v="VILLAVICENCIO"/>
    <x v="4"/>
    <s v=""/>
    <s v="CENTRAL MINORISTA DE ABASTOS DE VILLAVICENCIO - CEMERCA Local G0517"/>
    <s v="0"/>
    <s v="0"/>
    <s v="COMERCIALIZABLE"/>
    <s v="COMERCIAL"/>
    <n v="16169000"/>
    <x v="13"/>
    <s v=""/>
    <n v="16169000"/>
    <s v=""/>
    <s v=""/>
    <m/>
  </r>
  <r>
    <s v="18437"/>
    <s v="VILLAVICENCIO"/>
    <x v="4"/>
    <s v=""/>
    <s v="CENTRAL MINORISTA DE ABASTOS DE VILLAVICENCIO - CEMERCA Local G0518"/>
    <s v="0"/>
    <s v="0"/>
    <s v="COMERCIALIZABLE"/>
    <s v="COMERCIAL"/>
    <n v="16169000"/>
    <x v="13"/>
    <s v=""/>
    <n v="16169000"/>
    <s v=""/>
    <s v=""/>
    <m/>
  </r>
  <r>
    <s v="18438"/>
    <s v="VILLAVICENCIO"/>
    <x v="4"/>
    <s v=""/>
    <s v="CENTRAL MINORISTA DE ABASTOS DE VILLAVICENCIO - CEMERCA Local G0521"/>
    <s v="0"/>
    <s v="0"/>
    <s v="COMERCIALIZABLE"/>
    <s v="COMERCIAL"/>
    <n v="16169000"/>
    <x v="13"/>
    <s v=""/>
    <n v="16169000"/>
    <s v=""/>
    <s v=""/>
    <m/>
  </r>
  <r>
    <s v="18500"/>
    <s v="VILLAVICENCIO"/>
    <x v="4"/>
    <s v=""/>
    <s v="CENTRAL MINORISTA DE ABASTOS DE VILLAVICENCIO - CEMERCA Local G1302"/>
    <s v="0"/>
    <s v="0"/>
    <s v="COMERCIALIZABLE"/>
    <s v="COMERCIAL"/>
    <n v="16169000"/>
    <x v="13"/>
    <s v=""/>
    <n v="16169000"/>
    <s v=""/>
    <s v=""/>
    <m/>
  </r>
  <r>
    <s v="18501"/>
    <s v="VILLAVICENCIO"/>
    <x v="4"/>
    <s v=""/>
    <s v="CENTRAL MINORISTA DE ABASTOS DE VILLAVICENCIO - CEMERCA Local G1303"/>
    <s v="0"/>
    <s v="0"/>
    <s v="COMERCIALIZABLE"/>
    <s v="COMERCIAL"/>
    <n v="16169000"/>
    <x v="13"/>
    <s v=""/>
    <n v="16169000"/>
    <s v=""/>
    <s v=""/>
    <m/>
  </r>
  <r>
    <s v="18504"/>
    <s v="VILLAVICENCIO"/>
    <x v="4"/>
    <s v=""/>
    <s v="CENTRAL MINORISTA DE ABASTOS DE VILLAVICENCIO - CEMERCA Local G1313"/>
    <s v="0"/>
    <s v="0"/>
    <s v="COMERCIALIZABLE"/>
    <s v="COMERCIAL"/>
    <n v="16169000"/>
    <x v="13"/>
    <s v=""/>
    <n v="16169000"/>
    <s v=""/>
    <s v=""/>
    <m/>
  </r>
  <r>
    <s v="18505"/>
    <s v="VILLAVICENCIO"/>
    <x v="4"/>
    <s v=""/>
    <s v="CENTRAL MINORISTA DE ABASTOS DE VILLAVICENCIO - CEMERCA Local G1319"/>
    <s v="0"/>
    <s v="0"/>
    <s v="COMERCIALIZABLE"/>
    <s v="COMERCIAL"/>
    <n v="16169000"/>
    <x v="13"/>
    <s v=""/>
    <n v="16169000"/>
    <s v=""/>
    <s v=""/>
    <m/>
  </r>
  <r>
    <s v="18506"/>
    <s v="VILLAVICENCIO"/>
    <x v="4"/>
    <s v=""/>
    <s v="CENTRAL MINORISTA DE ABASTOS DE VILLAVICENCIO - CEMERCA Local G1320"/>
    <s v="0"/>
    <s v="0"/>
    <s v="COMERCIALIZABLE"/>
    <s v="COMERCIAL"/>
    <n v="16169000"/>
    <x v="13"/>
    <s v=""/>
    <n v="16169000"/>
    <s v=""/>
    <s v=""/>
    <m/>
  </r>
  <r>
    <s v="18920"/>
    <s v="BARRANQUILLA"/>
    <x v="11"/>
    <s v="LAS DELICIAS"/>
    <s v="CL 70 B  No, 41 - 226"/>
    <s v="0"/>
    <s v="0"/>
    <s v="COMERCIALIZABLE"/>
    <s v="COMERCIAL"/>
    <n v="1589428800"/>
    <x v="8"/>
    <s v=""/>
    <n v="1589428800"/>
    <s v=""/>
    <s v=""/>
    <m/>
  </r>
  <r>
    <s v="18442"/>
    <s v="VILLAVICENCIO"/>
    <x v="4"/>
    <s v=""/>
    <s v="CENTRAL MINORISTA DE ABASTOS DE VILLAVICENCIO - CEMERCA Local G0607"/>
    <s v="0"/>
    <s v="0"/>
    <s v="COMERCIALIZABLE"/>
    <s v="COMERCIAL"/>
    <n v="15974000"/>
    <x v="13"/>
    <s v=""/>
    <n v="15974000"/>
    <s v=""/>
    <s v=""/>
    <m/>
  </r>
  <r>
    <s v="18454"/>
    <s v="VILLAVICENCIO"/>
    <x v="4"/>
    <s v=""/>
    <s v="CENTRAL MINORISTA DE ABASTOS DE VILLAVICENCIO - CEMERCA Local G0804"/>
    <s v="0"/>
    <s v="0"/>
    <s v="EN PUJA"/>
    <s v="COMERCIAL"/>
    <n v="15870000"/>
    <x v="13"/>
    <s v=""/>
    <n v="15870000"/>
    <s v=""/>
    <s v=""/>
    <m/>
  </r>
  <r>
    <s v="18455"/>
    <s v="VILLAVICENCIO"/>
    <x v="4"/>
    <s v=""/>
    <s v="CENTRAL MINORISTA DE ABASTOS DE VILLAVICENCIO - CEMERCA Local G0805"/>
    <s v="0"/>
    <s v="0"/>
    <s v="EN PUJA"/>
    <s v="COMERCIAL"/>
    <n v="15870000"/>
    <x v="13"/>
    <s v=""/>
    <n v="15870000"/>
    <s v=""/>
    <s v=""/>
    <m/>
  </r>
  <r>
    <s v="18456"/>
    <s v="VILLAVICENCIO"/>
    <x v="4"/>
    <s v=""/>
    <s v="CENTRAL MINORISTA DE ABASTOS DE VILLAVICENCIO - CEMERCA Local G0806"/>
    <s v="0"/>
    <s v="0"/>
    <s v="COMERCIALIZABLE"/>
    <s v="COMERCIAL"/>
    <n v="15870000"/>
    <x v="13"/>
    <s v=""/>
    <n v="15870000"/>
    <s v=""/>
    <s v=""/>
    <m/>
  </r>
  <r>
    <s v="18459"/>
    <s v="VILLAVICENCIO"/>
    <x v="4"/>
    <s v=""/>
    <s v="CENTRAL MINORISTA DE ABASTOS DE VILLAVICENCIO - CEMERCA Local G0811"/>
    <s v="0"/>
    <s v="0"/>
    <s v="COMERCIALIZABLE"/>
    <s v="COMERCIAL"/>
    <n v="15870000"/>
    <x v="13"/>
    <s v=""/>
    <n v="15870000"/>
    <s v=""/>
    <s v=""/>
    <m/>
  </r>
  <r>
    <s v="18460"/>
    <s v="VILLAVICENCIO"/>
    <x v="4"/>
    <s v=""/>
    <s v="CENTRAL MINORISTA DE ABASTOS DE VILLAVICENCIO - CEMERCA Local G0812"/>
    <s v="0"/>
    <s v="0"/>
    <s v="COMERCIALIZABLE"/>
    <s v="COMERCIAL"/>
    <n v="15870000"/>
    <x v="13"/>
    <s v=""/>
    <n v="15870000"/>
    <s v=""/>
    <s v=""/>
    <m/>
  </r>
  <r>
    <s v="18462"/>
    <s v="VILLAVICENCIO"/>
    <x v="4"/>
    <s v=""/>
    <s v="CENTRAL MINORISTA DE ABASTOS DE VILLAVICENCIO - CEMERCA Local G0814"/>
    <s v="0"/>
    <s v="0"/>
    <s v="COMERCIALIZABLE"/>
    <s v="COMERCIAL"/>
    <n v="15870000"/>
    <x v="13"/>
    <s v=""/>
    <n v="15870000"/>
    <s v=""/>
    <s v=""/>
    <m/>
  </r>
  <r>
    <s v="18463"/>
    <s v="VILLAVICENCIO"/>
    <x v="4"/>
    <s v=""/>
    <s v="CENTRAL MINORISTA DE ABASTOS DE VILLAVICENCIO - CEMERCA Local G0815"/>
    <s v="0"/>
    <s v="0"/>
    <s v="EN PUJA"/>
    <s v="COMERCIAL"/>
    <n v="15870000"/>
    <x v="13"/>
    <s v=""/>
    <n v="15870000"/>
    <s v=""/>
    <s v=""/>
    <m/>
  </r>
  <r>
    <s v="18464"/>
    <s v="VILLAVICENCIO"/>
    <x v="4"/>
    <s v=""/>
    <s v="CENTRAL MINORISTA DE ABASTOS DE VILLAVICENCIO - CEMERCA Local G0816"/>
    <s v="0"/>
    <s v="0"/>
    <s v="EN PUJA"/>
    <s v="COMERCIAL"/>
    <n v="15870000"/>
    <x v="13"/>
    <s v=""/>
    <n v="15870000"/>
    <s v=""/>
    <s v=""/>
    <m/>
  </r>
  <r>
    <s v="18469"/>
    <s v="VILLAVICENCIO"/>
    <x v="4"/>
    <s v=""/>
    <s v="CENTRAL MINORISTA DE ABASTOS DE VILLAVICENCIO - CEMERCA Local G0906"/>
    <s v="0"/>
    <s v="0"/>
    <s v="COMERCIALIZABLE"/>
    <s v="COMERCIAL"/>
    <n v="15870000"/>
    <x v="13"/>
    <s v=""/>
    <n v="15870000"/>
    <s v=""/>
    <s v=""/>
    <m/>
  </r>
  <r>
    <s v="18470"/>
    <s v="VILLAVICENCIO"/>
    <x v="4"/>
    <s v=""/>
    <s v="CENTRAL MINORISTA DE ABASTOS DE VILLAVICENCIO - CEMERCA Local G0907"/>
    <s v="0"/>
    <s v="0"/>
    <s v="COMERCIALIZABLE"/>
    <s v="COMERCIAL"/>
    <n v="15870000"/>
    <x v="13"/>
    <s v=""/>
    <n v="15870000"/>
    <s v=""/>
    <s v=""/>
    <m/>
  </r>
  <r>
    <s v="18479"/>
    <s v="VILLAVICENCIO"/>
    <x v="4"/>
    <s v=""/>
    <s v="CENTRAL MINORISTA DE ABASTOS DE VILLAVICENCIO - CEMERCA Local G1004"/>
    <s v="0"/>
    <s v="0"/>
    <s v="COMERCIALIZABLE"/>
    <s v="COMERCIAL"/>
    <n v="15870000"/>
    <x v="13"/>
    <s v=""/>
    <n v="15870000"/>
    <s v=""/>
    <s v=""/>
    <m/>
  </r>
  <r>
    <s v="18480"/>
    <s v="VILLAVICENCIO"/>
    <x v="4"/>
    <s v=""/>
    <s v="CENTRAL MINORISTA DE ABASTOS DE VILLAVICENCIO - CEMERCA Local G1005"/>
    <s v="0"/>
    <s v="0"/>
    <s v="COMERCIALIZABLE"/>
    <s v="COMERCIAL"/>
    <n v="15870000"/>
    <x v="13"/>
    <s v=""/>
    <n v="15870000"/>
    <s v=""/>
    <s v=""/>
    <m/>
  </r>
  <r>
    <s v="18481"/>
    <s v="VILLAVICENCIO"/>
    <x v="4"/>
    <s v=""/>
    <s v="CENTRAL MINORISTA DE ABASTOS DE VILLAVICENCIO - CEMERCA Local G1006"/>
    <s v="0"/>
    <s v="0"/>
    <s v="COMERCIALIZABLE"/>
    <s v="COMERCIAL"/>
    <n v="15870000"/>
    <x v="13"/>
    <s v=""/>
    <n v="15870000"/>
    <s v=""/>
    <s v=""/>
    <m/>
  </r>
  <r>
    <s v="18486"/>
    <s v="VILLAVICENCIO"/>
    <x v="4"/>
    <s v=""/>
    <s v="CENTRAL MINORISTA DE ABASTOS DE VILLAVICENCIO - CEMERCA Local G1011"/>
    <s v="0"/>
    <s v="0"/>
    <s v="COMERCIALIZABLE"/>
    <s v="COMERCIAL"/>
    <n v="15870000"/>
    <x v="13"/>
    <s v=""/>
    <n v="15870000"/>
    <s v=""/>
    <s v=""/>
    <m/>
  </r>
  <r>
    <s v="18487"/>
    <s v="VILLAVICENCIO"/>
    <x v="4"/>
    <s v=""/>
    <s v="CENTRAL MINORISTA DE ABASTOS DE VILLAVICENCIO - CEMERCA Local G1012"/>
    <s v="0"/>
    <s v="0"/>
    <s v="COMERCIALIZABLE"/>
    <s v="COMERCIAL"/>
    <n v="15870000"/>
    <x v="13"/>
    <s v=""/>
    <n v="15870000"/>
    <s v=""/>
    <s v=""/>
    <m/>
  </r>
  <r>
    <s v="18488"/>
    <s v="VILLAVICENCIO"/>
    <x v="4"/>
    <s v=""/>
    <s v="CENTRAL MINORISTA DE ABASTOS DE VILLAVICENCIO - CEMERCA Local G1013"/>
    <s v="0"/>
    <s v="0"/>
    <s v="COMERCIALIZABLE"/>
    <s v="COMERCIAL"/>
    <n v="15870000"/>
    <x v="13"/>
    <s v=""/>
    <n v="15870000"/>
    <s v=""/>
    <s v=""/>
    <m/>
  </r>
  <r>
    <s v="18489"/>
    <s v="VILLAVICENCIO"/>
    <x v="4"/>
    <s v=""/>
    <s v="CENTRAL MINORISTA DE ABASTOS DE VILLAVICENCIO - CEMERCA Local G1014"/>
    <s v="0"/>
    <s v="0"/>
    <s v="COMERCIALIZABLE"/>
    <s v="COMERCIAL"/>
    <n v="15870000"/>
    <x v="13"/>
    <s v=""/>
    <n v="15870000"/>
    <s v=""/>
    <s v=""/>
    <m/>
  </r>
  <r>
    <s v="18461"/>
    <s v="VILLAVICENCIO"/>
    <x v="4"/>
    <s v=""/>
    <s v="CENTRAL MINORISTA DE ABASTOS DE VILLAVICENCIO - CEMERCA Local G0813"/>
    <s v="0"/>
    <s v="0"/>
    <s v="COMERCIALIZABLE"/>
    <s v="COMERCIAL"/>
    <n v="15732000"/>
    <x v="13"/>
    <s v=""/>
    <n v="15732000"/>
    <s v=""/>
    <s v=""/>
    <m/>
  </r>
  <r>
    <s v="18482"/>
    <s v="VILLAVICENCIO"/>
    <x v="4"/>
    <s v=""/>
    <s v="CENTRAL MINORISTA DE ABASTOS DE VILLAVICENCIO - CEMERCA Local G1007"/>
    <s v="0"/>
    <s v="0"/>
    <s v="COMERCIALIZABLE"/>
    <s v="COMERCIAL"/>
    <n v="15709000"/>
    <x v="13"/>
    <s v=""/>
    <n v="15709000"/>
    <s v=""/>
    <s v=""/>
    <m/>
  </r>
  <r>
    <s v="18485"/>
    <s v="VILLAVICENCIO"/>
    <x v="4"/>
    <s v=""/>
    <s v="CENTRAL MINORISTA DE ABASTOS DE VILLAVICENCIO - CEMERCA Local G1010"/>
    <s v="0"/>
    <s v="0"/>
    <s v="COMERCIALIZABLE"/>
    <s v="COMERCIAL"/>
    <n v="15680000"/>
    <x v="13"/>
    <s v=""/>
    <n v="15680000"/>
    <s v=""/>
    <s v=""/>
    <m/>
  </r>
  <r>
    <s v="18871"/>
    <s v="SANTANDER DE QUILICHAO"/>
    <x v="2"/>
    <s v="VILLA DEL SUR"/>
    <s v="CL 9 AS # 10-49 LT 14 MZ G  BARRIO VILLA DEL SUR ANTES BARRIO ANTONIO NARIÑO"/>
    <s v="0"/>
    <s v="0"/>
    <s v="COMERCIALIZABLE CON RESTRICCION"/>
    <s v="UNO"/>
    <n v="15348020"/>
    <x v="9"/>
    <s v="LOTE DE TERRENO CON CONSTRUCCION_x000a__x000a_EL VALOR DE VENTA SOLO CORRESPONDE AL LOTE_x000a__x000a_NMUEBLE OCUPADO"/>
    <n v="15348020"/>
    <s v=""/>
    <s v=""/>
    <m/>
  </r>
  <r>
    <s v="18458"/>
    <s v="VILLAVICENCIO"/>
    <x v="4"/>
    <s v=""/>
    <s v="CENTRAL MINORISTA DE ABASTOS DE VILLAVICENCIO - CEMERCA Local G0810"/>
    <s v="0"/>
    <s v="0"/>
    <s v="COMERCIALIZABLE"/>
    <s v="COMERCIAL"/>
    <n v="15043000"/>
    <x v="13"/>
    <s v=""/>
    <n v="15043000"/>
    <s v=""/>
    <s v=""/>
    <m/>
  </r>
  <r>
    <s v="18215"/>
    <s v="VILLAVICENCIO"/>
    <x v="4"/>
    <s v=""/>
    <s v="CENTRAL MINORISTA DE ABASTOS DE VILLAVICENCIO - CEMERCA Local A2922"/>
    <s v="0"/>
    <s v="0"/>
    <s v="COMERCIALIZABLE"/>
    <s v="COMERCIAL"/>
    <n v="14904000"/>
    <x v="13"/>
    <s v=""/>
    <n v="14904000"/>
    <s v=""/>
    <s v=""/>
    <m/>
  </r>
  <r>
    <s v="17352"/>
    <s v="PEREIRA"/>
    <x v="6"/>
    <s v="AV 30 DE AGOSTO"/>
    <s v="CLL 69 O ACEESO A CUBA AV,  30 DE AGOSTO LOTE 14"/>
    <s v="0"/>
    <s v="0"/>
    <s v="EN PUJA"/>
    <s v="CUATRO"/>
    <n v="1448807283"/>
    <x v="1"/>
    <s v=""/>
    <n v="1448807283"/>
    <s v=""/>
    <s v=""/>
    <m/>
  </r>
  <r>
    <s v="18484"/>
    <s v="VILLAVICENCIO"/>
    <x v="4"/>
    <s v=""/>
    <s v="CENTRAL MINORISTA DE ABASTOS DE VILLAVICENCIO - CEMERCA Local G1009"/>
    <s v="0"/>
    <s v="0"/>
    <s v="COMERCIALIZABLE"/>
    <s v="COMERCIAL"/>
    <n v="14357000"/>
    <x v="13"/>
    <s v=""/>
    <n v="14357000"/>
    <s v=""/>
    <s v=""/>
    <m/>
  </r>
  <r>
    <s v="18397"/>
    <s v="VILLAVICENCIO"/>
    <x v="4"/>
    <s v=""/>
    <s v="CENTRAL MINORISTA DE ABASTOS DE VILLAVICENCIO - CEMERCA Local F0807"/>
    <s v="0"/>
    <s v="0"/>
    <s v="EN PUJA"/>
    <s v="COMERCIAL"/>
    <n v="14099000"/>
    <x v="13"/>
    <s v=""/>
    <n v="14099000"/>
    <s v=""/>
    <s v=""/>
    <m/>
  </r>
  <r>
    <s v="18502"/>
    <s v="VILLAVICENCIO"/>
    <x v="4"/>
    <s v=""/>
    <s v="CENTRAL MINORISTA DE ABASTOS DE VILLAVICENCIO - CEMERCA Local G1311"/>
    <s v="0"/>
    <s v="0"/>
    <s v="COMERCIALIZABLE"/>
    <s v="COMERCIAL"/>
    <n v="13989500"/>
    <x v="13"/>
    <s v=""/>
    <n v="13989500"/>
    <s v=""/>
    <s v=""/>
    <m/>
  </r>
  <r>
    <s v="18419"/>
    <s v="VILLAVICENCIO"/>
    <x v="4"/>
    <s v=""/>
    <s v="CENTRAL MINORISTA DE ABASTOS DE VILLAVICENCIO - CEMERCA Local G0328"/>
    <s v="0"/>
    <s v="0"/>
    <s v="COMERCIALIZABLE"/>
    <s v="COMERCIAL"/>
    <n v="13846000"/>
    <x v="13"/>
    <s v=""/>
    <n v="13846000"/>
    <s v=""/>
    <s v=""/>
    <m/>
  </r>
  <r>
    <s v="18382"/>
    <s v="VILLAVICENCIO"/>
    <x v="4"/>
    <s v=""/>
    <s v="CENTRAL MINORISTA DE ABASTOS DE VILLAVICENCIO - CEMERCA Local F0613"/>
    <s v="0"/>
    <s v="0"/>
    <s v="COMERCIALIZABLE"/>
    <s v="COMERCIAL"/>
    <n v="13455000"/>
    <x v="13"/>
    <s v=""/>
    <n v="13455000"/>
    <s v=""/>
    <s v=""/>
    <m/>
  </r>
  <r>
    <s v="18390"/>
    <s v="VILLAVICENCIO"/>
    <x v="4"/>
    <s v=""/>
    <s v="CENTRAL MINORISTA DE ABASTOS DE VILLAVICENCIO - CEMERCA Local F0706"/>
    <s v="0"/>
    <s v="0"/>
    <s v="COMERCIALIZABLE"/>
    <s v="COMERCIAL"/>
    <n v="13455000"/>
    <x v="13"/>
    <s v=""/>
    <n v="13455000"/>
    <s v=""/>
    <s v=""/>
    <m/>
  </r>
  <r>
    <s v="18243"/>
    <s v="VILLAVICENCIO"/>
    <x v="4"/>
    <s v=""/>
    <s v="CENTRAL MINORISTA DE ABASTOS DE VILLAVICENCIO - CEMERCA Local A3224"/>
    <s v="0"/>
    <s v="0"/>
    <s v="COMERCIALIZABLE"/>
    <s v="COMERCIAL"/>
    <n v="13440000"/>
    <x v="13"/>
    <s v=""/>
    <n v="13440000"/>
    <s v=""/>
    <s v=""/>
    <m/>
  </r>
  <r>
    <s v="18379"/>
    <s v="VILLAVICENCIO"/>
    <x v="4"/>
    <s v=""/>
    <s v="CENTRAL MINORISTA DE ABASTOS DE VILLAVICENCIO - CEMERCA Local F0605"/>
    <s v="0"/>
    <s v="0"/>
    <s v="COMERCIALIZABLE"/>
    <s v="COMERCIAL"/>
    <n v="13386000"/>
    <x v="13"/>
    <s v=""/>
    <n v="13386000"/>
    <s v=""/>
    <s v=""/>
    <m/>
  </r>
  <r>
    <s v="18383"/>
    <s v="VILLAVICENCIO"/>
    <x v="4"/>
    <s v=""/>
    <s v="CENTRAL MINORISTA DE ABASTOS DE VILLAVICENCIO - CEMERCA Local F0614"/>
    <s v="0"/>
    <s v="0"/>
    <s v="COMERCIALIZABLE"/>
    <s v="COMERCIAL"/>
    <n v="13386000"/>
    <x v="13"/>
    <s v=""/>
    <n v="13386000"/>
    <s v=""/>
    <s v=""/>
    <m/>
  </r>
  <r>
    <s v="18384"/>
    <s v="VILLAVICENCIO"/>
    <x v="4"/>
    <s v=""/>
    <s v="CENTRAL MINORISTA DE ABASTOS DE VILLAVICENCIO - CEMERCA Local F0615"/>
    <s v="0"/>
    <s v="0"/>
    <s v="COMERCIALIZABLE"/>
    <s v="COMERCIAL"/>
    <n v="13386000"/>
    <x v="13"/>
    <s v=""/>
    <n v="13386000"/>
    <s v=""/>
    <s v=""/>
    <m/>
  </r>
  <r>
    <s v="18388"/>
    <s v="VILLAVICENCIO"/>
    <x v="4"/>
    <s v=""/>
    <s v="CENTRAL MINORISTA DE ABASTOS DE VILLAVICENCIO - CEMERCA Local F0704"/>
    <s v="0"/>
    <s v="0"/>
    <s v="EN PUJA"/>
    <s v="COMERCIAL"/>
    <n v="13386000"/>
    <x v="13"/>
    <s v=""/>
    <n v="13386000"/>
    <s v=""/>
    <s v=""/>
    <m/>
  </r>
  <r>
    <s v="18389"/>
    <s v="VILLAVICENCIO"/>
    <x v="4"/>
    <s v=""/>
    <s v="CENTRAL MINORISTA DE ABASTOS DE VILLAVICENCIO - CEMERCA Local F0705"/>
    <s v="0"/>
    <s v="0"/>
    <s v="EN PUJA"/>
    <s v="COMERCIAL"/>
    <n v="13386000"/>
    <x v="13"/>
    <s v=""/>
    <n v="13386000"/>
    <s v=""/>
    <s v=""/>
    <m/>
  </r>
  <r>
    <s v="18392"/>
    <s v="VILLAVICENCIO"/>
    <x v="4"/>
    <s v=""/>
    <s v="CENTRAL MINORISTA DE ABASTOS DE VILLAVICENCIO - CEMERCA Local F0714"/>
    <s v="0"/>
    <s v="0"/>
    <s v="EN PUJA"/>
    <s v="COMERCIAL"/>
    <n v="13386000"/>
    <x v="13"/>
    <s v=""/>
    <n v="13386000"/>
    <s v=""/>
    <s v=""/>
    <m/>
  </r>
  <r>
    <s v="18393"/>
    <s v="VILLAVICENCIO"/>
    <x v="4"/>
    <s v=""/>
    <s v="CENTRAL MINORISTA DE ABASTOS DE VILLAVICENCIO - CEMERCA Local F0716"/>
    <s v="0"/>
    <s v="0"/>
    <s v="COMERCIALIZABLE"/>
    <s v="COMERCIAL"/>
    <n v="13386000"/>
    <x v="13"/>
    <s v=""/>
    <n v="13386000"/>
    <s v=""/>
    <s v=""/>
    <m/>
  </r>
  <r>
    <s v="18395"/>
    <s v="VILLAVICENCIO"/>
    <x v="4"/>
    <s v=""/>
    <s v="CENTRAL MINORISTA DE ABASTOS DE VILLAVICENCIO - CEMERCA Local F0805"/>
    <s v="0"/>
    <s v="0"/>
    <s v="EN PUJA"/>
    <s v="COMERCIAL"/>
    <n v="13386000"/>
    <x v="13"/>
    <s v=""/>
    <n v="13386000"/>
    <s v=""/>
    <s v=""/>
    <m/>
  </r>
  <r>
    <s v="18260"/>
    <s v="VILLAVICENCIO"/>
    <x v="4"/>
    <s v=""/>
    <s v="CENTRAL MINORISTA DE ABASTOS DE VILLAVICENCIO - CEMERCA Local A3407"/>
    <s v="0"/>
    <s v="0"/>
    <s v="COMERCIALIZABLE"/>
    <s v="COMERCIAL"/>
    <n v="13107500"/>
    <x v="13"/>
    <s v=""/>
    <n v="13107500"/>
    <s v=""/>
    <s v=""/>
    <m/>
  </r>
  <r>
    <s v="18268"/>
    <s v="VILLAVICENCIO"/>
    <x v="4"/>
    <s v=""/>
    <s v="CENTRAL MINORISTA DE ABASTOS DE VILLAVICENCIO - CEMERCA Local A3507"/>
    <s v="0"/>
    <s v="0"/>
    <s v="COMERCIALIZABLE"/>
    <s v="COMERCIAL"/>
    <n v="13107500"/>
    <x v="13"/>
    <s v=""/>
    <n v="13107500"/>
    <s v=""/>
    <s v=""/>
    <m/>
  </r>
  <r>
    <s v="18420"/>
    <s v="VILLAVICENCIO"/>
    <x v="4"/>
    <s v=""/>
    <s v="CENTRAL MINORISTA DE ABASTOS DE VILLAVICENCIO - CEMERCA Local G0401"/>
    <s v="0"/>
    <s v="0"/>
    <s v="COMERCIALIZABLE"/>
    <s v="COMERCIAL"/>
    <n v="13009500"/>
    <x v="13"/>
    <s v=""/>
    <n v="13009500"/>
    <s v=""/>
    <s v=""/>
    <m/>
  </r>
  <r>
    <s v="18424"/>
    <s v="VILLAVICENCIO"/>
    <x v="4"/>
    <s v=""/>
    <s v="CENTRAL MINORISTA DE ABASTOS DE VILLAVICENCIO - CEMERCA Local G0405"/>
    <s v="0"/>
    <s v="0"/>
    <s v="COMERCIALIZABLE"/>
    <s v="COMERCIAL"/>
    <n v="13009500"/>
    <x v="13"/>
    <s v=""/>
    <n v="13009500"/>
    <s v=""/>
    <s v=""/>
    <m/>
  </r>
  <r>
    <s v="18263"/>
    <s v="VILLAVICENCIO"/>
    <x v="4"/>
    <s v=""/>
    <s v="CENTRAL MINORISTA DE ABASTOS DE VILLAVICENCIO - CEMERCA Local A3414"/>
    <s v="0"/>
    <s v="0"/>
    <s v="COMERCIALIZABLE"/>
    <s v="COMERCIAL"/>
    <n v="12936000"/>
    <x v="13"/>
    <s v=""/>
    <n v="12936000"/>
    <s v=""/>
    <s v=""/>
    <m/>
  </r>
  <r>
    <s v="18493"/>
    <s v="VILLAVICENCIO"/>
    <x v="4"/>
    <s v=""/>
    <s v="CENTRAL MINORISTA DE ABASTOS DE VILLAVICENCIO - CEMERCA Local G1102"/>
    <s v="0"/>
    <s v="0"/>
    <s v="COMERCIALIZABLE"/>
    <s v="COMERCIAL"/>
    <n v="12857000"/>
    <x v="13"/>
    <s v=""/>
    <n v="12857000"/>
    <s v=""/>
    <s v=""/>
    <m/>
  </r>
  <r>
    <s v="18494"/>
    <s v="VILLAVICENCIO"/>
    <x v="4"/>
    <s v=""/>
    <s v="CENTRAL MINORISTA DE ABASTOS DE VILLAVICENCIO - CEMERCA Local G1103"/>
    <s v="0"/>
    <s v="0"/>
    <s v="COMERCIALIZABLE"/>
    <s v="COMERCIAL"/>
    <n v="12857000"/>
    <x v="13"/>
    <s v=""/>
    <n v="12857000"/>
    <s v=""/>
    <s v=""/>
    <m/>
  </r>
  <r>
    <s v="18495"/>
    <s v="VILLAVICENCIO"/>
    <x v="4"/>
    <s v=""/>
    <s v="CENTRAL MINORISTA DE ABASTOS DE VILLAVICENCIO - CEMERCA Local G1106"/>
    <s v="0"/>
    <s v="0"/>
    <s v="COMERCIALIZABLE"/>
    <s v="COMERCIAL"/>
    <n v="12857000"/>
    <x v="13"/>
    <s v=""/>
    <n v="12857000"/>
    <s v=""/>
    <s v=""/>
    <m/>
  </r>
  <r>
    <s v="18247"/>
    <s v="VILLAVICENCIO"/>
    <x v="4"/>
    <s v=""/>
    <s v="CENTRAL MINORISTA DE ABASTOS DE VILLAVICENCIO - CEMERCA Local A3231"/>
    <s v="0"/>
    <s v="0"/>
    <s v="COMERCIALIZABLE"/>
    <s v="COMERCIAL"/>
    <n v="12696000"/>
    <x v="13"/>
    <s v=""/>
    <n v="12696000"/>
    <s v=""/>
    <s v=""/>
    <m/>
  </r>
  <r>
    <s v="18449"/>
    <s v="VILLAVICENCIO"/>
    <x v="4"/>
    <s v=""/>
    <s v="CENTRAL MINORISTA DE ABASTOS DE VILLAVICENCIO - CEMERCA Local G0708"/>
    <s v="0"/>
    <s v="0"/>
    <s v="COMERCIALIZABLE"/>
    <s v="COMERCIAL"/>
    <n v="12466000"/>
    <x v="13"/>
    <s v=""/>
    <n v="12466000"/>
    <s v=""/>
    <s v=""/>
    <m/>
  </r>
  <r>
    <s v="18347"/>
    <s v="VILLAVICENCIO"/>
    <x v="4"/>
    <s v=""/>
    <s v="CENTRAL MINORISTA DE ABASTOS DE VILLAVICENCIO - CEMERCA Local E0503"/>
    <s v="0"/>
    <s v="0"/>
    <s v="COMERCIALIZABLE"/>
    <s v="COMERCIAL"/>
    <n v="12416000"/>
    <x v="13"/>
    <s v=""/>
    <n v="12416000"/>
    <s v=""/>
    <s v=""/>
    <m/>
  </r>
  <r>
    <s v="18079"/>
    <s v="VILLAVICENCIO"/>
    <x v="4"/>
    <s v=""/>
    <s v="CENTRAL MINORISTA DE ABASTOS DE VILLAVICENCIO - CEMERCA Local A0205"/>
    <s v="0"/>
    <s v="0"/>
    <s v="COMERCIALIZABLE"/>
    <s v="COMERCIAL"/>
    <n v="12305000"/>
    <x v="13"/>
    <s v=""/>
    <n v="12305000"/>
    <s v=""/>
    <s v=""/>
    <m/>
  </r>
  <r>
    <s v="18080"/>
    <s v="VILLAVICENCIO"/>
    <x v="4"/>
    <s v=""/>
    <s v="CENTRAL MINORISTA DE ABASTOS DE VILLAVICENCIO - CEMERCA Local A0206"/>
    <s v="0"/>
    <s v="0"/>
    <s v="COMERCIALIZABLE"/>
    <s v="COMERCIAL"/>
    <n v="12305000"/>
    <x v="13"/>
    <s v=""/>
    <n v="12305000"/>
    <s v=""/>
    <s v=""/>
    <m/>
  </r>
  <r>
    <s v="18083"/>
    <s v="VILLAVICENCIO"/>
    <x v="4"/>
    <s v=""/>
    <s v="CENTRAL MINORISTA DE ABASTOS DE VILLAVICENCIO - CEMERCA Local A0213"/>
    <s v="0"/>
    <s v="0"/>
    <s v="COMERCIALIZABLE"/>
    <s v="COMERCIAL"/>
    <n v="12305000"/>
    <x v="13"/>
    <s v=""/>
    <n v="12305000"/>
    <s v=""/>
    <s v=""/>
    <m/>
  </r>
  <r>
    <s v="18084"/>
    <s v="VILLAVICENCIO"/>
    <x v="4"/>
    <s v=""/>
    <s v="CENTRAL MINORISTA DE ABASTOS DE VILLAVICENCIO - CEMERCA Local A0214"/>
    <s v="0"/>
    <s v="0"/>
    <s v="COMERCIALIZABLE"/>
    <s v="COMERCIAL"/>
    <n v="12305000"/>
    <x v="13"/>
    <s v=""/>
    <n v="12305000"/>
    <s v=""/>
    <s v=""/>
    <m/>
  </r>
  <r>
    <s v="18089"/>
    <s v="VILLAVICENCIO"/>
    <x v="4"/>
    <s v=""/>
    <s v="CENTRAL MINORISTA DE ABASTOS DE VILLAVICENCIO - CEMERCA Local A0302"/>
    <s v="0"/>
    <s v="0"/>
    <s v="COMERCIALIZABLE"/>
    <s v="COMERCIAL"/>
    <n v="12305000"/>
    <x v="13"/>
    <s v=""/>
    <n v="12305000"/>
    <s v=""/>
    <s v=""/>
    <m/>
  </r>
  <r>
    <s v="18090"/>
    <s v="VILLAVICENCIO"/>
    <x v="4"/>
    <s v=""/>
    <s v="CENTRAL MINORISTA DE ABASTOS DE VILLAVICENCIO - CEMERCA Local A0303"/>
    <s v="0"/>
    <s v="0"/>
    <s v="COMERCIALIZABLE"/>
    <s v="COMERCIAL"/>
    <n v="12305000"/>
    <x v="13"/>
    <s v=""/>
    <n v="12305000"/>
    <s v=""/>
    <s v=""/>
    <m/>
  </r>
  <r>
    <s v="18091"/>
    <s v="VILLAVICENCIO"/>
    <x v="4"/>
    <s v=""/>
    <s v="CENTRAL MINORISTA DE ABASTOS DE VILLAVICENCIO - CEMERCA Local A0304"/>
    <s v="0"/>
    <s v="0"/>
    <s v="COMERCIALIZABLE"/>
    <s v="COMERCIAL"/>
    <n v="12305000"/>
    <x v="13"/>
    <s v=""/>
    <n v="12305000"/>
    <s v=""/>
    <s v=""/>
    <m/>
  </r>
  <r>
    <s v="18092"/>
    <s v="VILLAVICENCIO"/>
    <x v="4"/>
    <s v=""/>
    <s v="CENTRAL MINORISTA DE ABASTOS DE VILLAVICENCIO - CEMERCA Local A0305"/>
    <s v="0"/>
    <s v="0"/>
    <s v="COMERCIALIZABLE"/>
    <s v="COMERCIAL"/>
    <n v="12305000"/>
    <x v="13"/>
    <s v=""/>
    <n v="12305000"/>
    <s v=""/>
    <s v=""/>
    <m/>
  </r>
  <r>
    <s v="18113"/>
    <s v="VILLAVICENCIO"/>
    <x v="4"/>
    <s v=""/>
    <s v="CENTRAL MINORISTA DE ABASTOS DE VILLAVICENCIO - CEMERCA Local A0806"/>
    <s v="0"/>
    <s v="0"/>
    <s v="COMERCIALIZABLE"/>
    <s v="COMERCIAL"/>
    <n v="12305000"/>
    <x v="13"/>
    <s v=""/>
    <n v="12305000"/>
    <s v=""/>
    <s v=""/>
    <m/>
  </r>
  <r>
    <s v="18115"/>
    <s v="VILLAVICENCIO"/>
    <x v="4"/>
    <s v=""/>
    <s v="CENTRAL MINORISTA DE ABASTOS DE VILLAVICENCIO - CEMERCA Local A0820"/>
    <s v="0"/>
    <s v="0"/>
    <s v="COMERCIALIZABLE"/>
    <s v="COMERCIAL"/>
    <n v="12305000"/>
    <x v="13"/>
    <s v=""/>
    <n v="12305000"/>
    <s v=""/>
    <s v=""/>
    <m/>
  </r>
  <r>
    <s v="18123"/>
    <s v="VILLAVICENCIO"/>
    <x v="4"/>
    <s v=""/>
    <s v="CENTRAL MINORISTA DE ABASTOS DE VILLAVICENCIO - CEMERCA Local A1011"/>
    <s v="0"/>
    <s v="0"/>
    <s v="COMERCIALIZABLE"/>
    <s v="COMERCIAL"/>
    <n v="12305000"/>
    <x v="13"/>
    <s v=""/>
    <n v="12305000"/>
    <s v=""/>
    <s v=""/>
    <m/>
  </r>
  <r>
    <s v="18124"/>
    <s v="VILLAVICENCIO"/>
    <x v="4"/>
    <s v=""/>
    <s v="CENTRAL MINORISTA DE ABASTOS DE VILLAVICENCIO - CEMERCA Local A1013"/>
    <s v="0"/>
    <s v="0"/>
    <s v="COMERCIALIZABLE"/>
    <s v="COMERCIAL"/>
    <n v="12305000"/>
    <x v="13"/>
    <s v=""/>
    <n v="12305000"/>
    <s v=""/>
    <s v=""/>
    <m/>
  </r>
  <r>
    <s v="18125"/>
    <s v="VILLAVICENCIO"/>
    <x v="4"/>
    <s v=""/>
    <s v="CENTRAL MINORISTA DE ABASTOS DE VILLAVICENCIO - CEMERCA Local A1014"/>
    <s v="0"/>
    <s v="0"/>
    <s v="COMERCIALIZABLE"/>
    <s v="COMERCIAL"/>
    <n v="12305000"/>
    <x v="13"/>
    <s v=""/>
    <n v="12305000"/>
    <s v=""/>
    <s v=""/>
    <m/>
  </r>
  <r>
    <s v="18131"/>
    <s v="VILLAVICENCIO"/>
    <x v="4"/>
    <s v=""/>
    <s v="CENTRAL MINORISTA DE ABASTOS DE VILLAVICENCIO - CEMERCA Local A1210"/>
    <s v="0"/>
    <s v="0"/>
    <s v="COMERCIALIZABLE"/>
    <s v="COMERCIAL"/>
    <n v="12305000"/>
    <x v="13"/>
    <s v=""/>
    <n v="12305000"/>
    <s v=""/>
    <s v=""/>
    <m/>
  </r>
  <r>
    <s v="18132"/>
    <s v="VILLAVICENCIO"/>
    <x v="4"/>
    <s v=""/>
    <s v="CENTRAL MINORISTA DE ABASTOS DE VILLAVICENCIO - CEMERCA Local A1308"/>
    <s v="0"/>
    <s v="0"/>
    <s v="COMERCIALIZABLE"/>
    <s v="COMERCIAL"/>
    <n v="12305000"/>
    <x v="13"/>
    <s v=""/>
    <n v="12305000"/>
    <s v=""/>
    <s v=""/>
    <m/>
  </r>
  <r>
    <s v="18134"/>
    <s v="VILLAVICENCIO"/>
    <x v="4"/>
    <s v=""/>
    <s v="CENTRAL MINORISTA DE ABASTOS DE VILLAVICENCIO - CEMERCA Local A1803"/>
    <s v="0"/>
    <s v="0"/>
    <s v="COMERCIALIZABLE"/>
    <s v="COMERCIAL"/>
    <n v="12305000"/>
    <x v="13"/>
    <s v=""/>
    <n v="12305000"/>
    <s v=""/>
    <s v=""/>
    <m/>
  </r>
  <r>
    <s v="18138"/>
    <s v="VILLAVICENCIO"/>
    <x v="4"/>
    <s v=""/>
    <s v="CENTRAL MINORISTA DE ABASTOS DE VILLAVICENCIO - CEMERCA Local A1912"/>
    <s v="0"/>
    <s v="0"/>
    <s v="COMERCIALIZABLE"/>
    <s v="COMERCIAL"/>
    <n v="12305000"/>
    <x v="13"/>
    <s v=""/>
    <n v="12305000"/>
    <s v=""/>
    <s v=""/>
    <m/>
  </r>
  <r>
    <s v="18139"/>
    <s v="VILLAVICENCIO"/>
    <x v="4"/>
    <s v=""/>
    <s v="CENTRAL MINORISTA DE ABASTOS DE VILLAVICENCIO - CEMERCA Local A1913"/>
    <s v="0"/>
    <s v="0"/>
    <s v="COMERCIALIZABLE"/>
    <s v="COMERCIAL"/>
    <n v="12305000"/>
    <x v="13"/>
    <s v=""/>
    <n v="12305000"/>
    <s v=""/>
    <s v=""/>
    <m/>
  </r>
  <r>
    <s v="18140"/>
    <s v="VILLAVICENCIO"/>
    <x v="4"/>
    <s v=""/>
    <s v="CENTRAL MINORISTA DE ABASTOS DE VILLAVICENCIO - CEMERCA Local A1914"/>
    <s v="0"/>
    <s v="0"/>
    <s v="COMERCIALIZABLE CON RESTRICCION"/>
    <s v="COMERCIAL"/>
    <n v="12305000"/>
    <x v="13"/>
    <s v=""/>
    <n v="12305000"/>
    <s v=""/>
    <s v=""/>
    <m/>
  </r>
  <r>
    <s v="18141"/>
    <s v="VILLAVICENCIO"/>
    <x v="4"/>
    <s v=""/>
    <s v="CENTRAL MINORISTA DE ABASTOS DE VILLAVICENCIO - CEMERCA Local A1915"/>
    <s v="0"/>
    <s v="0"/>
    <s v="COMERCIALIZABLE"/>
    <s v="COMERCIAL"/>
    <n v="12305000"/>
    <x v="13"/>
    <s v=""/>
    <n v="12305000"/>
    <s v=""/>
    <s v=""/>
    <m/>
  </r>
  <r>
    <s v="18142"/>
    <s v="VILLAVICENCIO"/>
    <x v="4"/>
    <s v=""/>
    <s v="CENTRAL MINORISTA DE ABASTOS DE VILLAVICENCIO - CEMERCA Local A1917"/>
    <s v="0"/>
    <s v="0"/>
    <s v="COMERCIALIZABLE"/>
    <s v="COMERCIAL"/>
    <n v="12305000"/>
    <x v="13"/>
    <s v=""/>
    <n v="12305000"/>
    <s v=""/>
    <s v=""/>
    <m/>
  </r>
  <r>
    <s v="18147"/>
    <s v="VILLAVICENCIO"/>
    <x v="4"/>
    <s v=""/>
    <s v="CENTRAL MINORISTA DE ABASTOS DE VILLAVICENCIO - CEMERCA Local A2103"/>
    <s v="0"/>
    <s v="0"/>
    <s v="COMERCIALIZABLE"/>
    <s v="COMERCIAL"/>
    <n v="12305000"/>
    <x v="13"/>
    <s v=""/>
    <n v="12305000"/>
    <s v=""/>
    <s v=""/>
    <m/>
  </r>
  <r>
    <s v="18151"/>
    <s v="VILLAVICENCIO"/>
    <x v="4"/>
    <s v=""/>
    <s v="CENTRAL MINORISTA DE ABASTOS DE VILLAVICENCIO - CEMERCA Local A2210"/>
    <s v="0"/>
    <s v="0"/>
    <s v="COMERCIALIZABLE"/>
    <s v="COMERCIAL"/>
    <n v="12305000"/>
    <x v="13"/>
    <s v=""/>
    <n v="12305000"/>
    <s v=""/>
    <s v=""/>
    <m/>
  </r>
  <r>
    <s v="18157"/>
    <s v="VILLAVICENCIO"/>
    <x v="4"/>
    <s v=""/>
    <s v="CENTRAL MINORISTA DE ABASTOS DE VILLAVICENCIO - CEMERCA Local A2313"/>
    <s v="0"/>
    <s v="0"/>
    <s v="COMERCIALIZABLE"/>
    <s v="COMERCIAL"/>
    <n v="12305000"/>
    <x v="13"/>
    <s v=""/>
    <n v="12305000"/>
    <s v=""/>
    <s v=""/>
    <m/>
  </r>
  <r>
    <s v="18158"/>
    <s v="VILLAVICENCIO"/>
    <x v="4"/>
    <s v=""/>
    <s v="CENTRAL MINORISTA DE ABASTOS DE VILLAVICENCIO - CEMERCA Local A2314"/>
    <s v="0"/>
    <s v="0"/>
    <s v="COMERCIALIZABLE"/>
    <s v="COMERCIAL"/>
    <n v="12305000"/>
    <x v="13"/>
    <s v=""/>
    <n v="12305000"/>
    <s v=""/>
    <s v=""/>
    <m/>
  </r>
  <r>
    <s v="18159"/>
    <s v="VILLAVICENCIO"/>
    <x v="4"/>
    <s v=""/>
    <s v="CENTRAL MINORISTA DE ABASTOS DE VILLAVICENCIO - CEMERCA Local A2316"/>
    <s v="0"/>
    <s v="0"/>
    <s v="COMERCIALIZABLE"/>
    <s v="COMERCIAL"/>
    <n v="12305000"/>
    <x v="13"/>
    <s v=""/>
    <n v="12305000"/>
    <s v=""/>
    <s v=""/>
    <m/>
  </r>
  <r>
    <s v="18160"/>
    <s v="VILLAVICENCIO"/>
    <x v="4"/>
    <s v=""/>
    <s v="CENTRAL MINORISTA DE ABASTOS DE VILLAVICENCIO - CEMERCA Local A2317"/>
    <s v="0"/>
    <s v="0"/>
    <s v="COMERCIALIZABLE"/>
    <s v="COMERCIAL"/>
    <n v="12305000"/>
    <x v="13"/>
    <s v=""/>
    <n v="12305000"/>
    <s v=""/>
    <s v=""/>
    <m/>
  </r>
  <r>
    <s v="18161"/>
    <s v="VILLAVICENCIO"/>
    <x v="4"/>
    <s v=""/>
    <s v="CENTRAL MINORISTA DE ABASTOS DE VILLAVICENCIO - CEMERCA Local A2318"/>
    <s v="0"/>
    <s v="0"/>
    <s v="COMERCIALIZABLE"/>
    <s v="COMERCIAL"/>
    <n v="12305000"/>
    <x v="13"/>
    <s v=""/>
    <n v="12305000"/>
    <s v=""/>
    <s v=""/>
    <m/>
  </r>
  <r>
    <s v="18164"/>
    <s v="VILLAVICENCIO"/>
    <x v="4"/>
    <s v=""/>
    <s v="CENTRAL MINORISTA DE ABASTOS DE VILLAVICENCIO - CEMERCA Local A2404"/>
    <s v="0"/>
    <s v="0"/>
    <s v="COMERCIALIZABLE"/>
    <s v="COMERCIAL"/>
    <n v="12305000"/>
    <x v="13"/>
    <s v=""/>
    <n v="12305000"/>
    <s v=""/>
    <s v=""/>
    <m/>
  </r>
  <r>
    <s v="18169"/>
    <s v="VILLAVICENCIO"/>
    <x v="4"/>
    <s v=""/>
    <s v="CENTRAL MINORISTA DE ABASTOS DE VILLAVICENCIO - CEMERCA Local A2409"/>
    <s v="0"/>
    <s v="0"/>
    <s v="COMERCIALIZABLE"/>
    <s v="COMERCIAL"/>
    <n v="12305000"/>
    <x v="13"/>
    <s v=""/>
    <n v="12305000"/>
    <s v=""/>
    <s v=""/>
    <m/>
  </r>
  <r>
    <s v="18170"/>
    <s v="VILLAVICENCIO"/>
    <x v="4"/>
    <s v=""/>
    <s v="CENTRAL MINORISTA DE ABASTOS DE VILLAVICENCIO - CEMERCA Local A2410"/>
    <s v="0"/>
    <s v="0"/>
    <s v="COMERCIALIZABLE"/>
    <s v="COMERCIAL"/>
    <n v="12305000"/>
    <x v="13"/>
    <s v=""/>
    <n v="12305000"/>
    <s v=""/>
    <s v=""/>
    <m/>
  </r>
  <r>
    <s v="18179"/>
    <s v="VILLAVICENCIO"/>
    <x v="4"/>
    <s v=""/>
    <s v="CENTRAL MINORISTA DE ABASTOS DE VILLAVICENCIO - CEMERCA Local A2706"/>
    <s v="0"/>
    <s v="0"/>
    <s v="COMERCIALIZABLE"/>
    <s v="COMERCIAL"/>
    <n v="12305000"/>
    <x v="13"/>
    <s v=""/>
    <n v="12305000"/>
    <s v=""/>
    <s v=""/>
    <m/>
  </r>
  <r>
    <s v="18180"/>
    <s v="VILLAVICENCIO"/>
    <x v="4"/>
    <s v=""/>
    <s v="CENTRAL MINORISTA DE ABASTOS DE VILLAVICENCIO - CEMERCA Local A2711"/>
    <s v="0"/>
    <s v="0"/>
    <s v="COMERCIALIZABLE"/>
    <s v="COMERCIAL"/>
    <n v="12305000"/>
    <x v="13"/>
    <s v=""/>
    <n v="12305000"/>
    <s v=""/>
    <s v=""/>
    <m/>
  </r>
  <r>
    <s v="18182"/>
    <s v="VILLAVICENCIO"/>
    <x v="4"/>
    <s v=""/>
    <s v="CENTRAL MINORISTA DE ABASTOS DE VILLAVICENCIO - CEMERCA Local A2803"/>
    <s v="0"/>
    <s v="0"/>
    <s v="COMERCIALIZABLE"/>
    <s v="COMERCIAL"/>
    <n v="12305000"/>
    <x v="13"/>
    <s v=""/>
    <n v="12305000"/>
    <s v=""/>
    <s v=""/>
    <m/>
  </r>
  <r>
    <s v="18183"/>
    <s v="VILLAVICENCIO"/>
    <x v="4"/>
    <s v=""/>
    <s v="CENTRAL MINORISTA DE ABASTOS DE VILLAVICENCIO - CEMERCA Local A2804"/>
    <s v="0"/>
    <s v="0"/>
    <s v="COMERCIALIZABLE"/>
    <s v="COMERCIAL"/>
    <n v="12305000"/>
    <x v="13"/>
    <s v=""/>
    <n v="12305000"/>
    <s v=""/>
    <s v=""/>
    <m/>
  </r>
  <r>
    <s v="18184"/>
    <s v="VILLAVICENCIO"/>
    <x v="4"/>
    <s v=""/>
    <s v="CENTRAL MINORISTA DE ABASTOS DE VILLAVICENCIO - CEMERCA Local A2806"/>
    <s v="0"/>
    <s v="0"/>
    <s v="COMERCIALIZABLE"/>
    <s v="COMERCIAL"/>
    <n v="12305000"/>
    <x v="13"/>
    <s v=""/>
    <n v="12305000"/>
    <s v=""/>
    <s v=""/>
    <m/>
  </r>
  <r>
    <s v="18185"/>
    <s v="VILLAVICENCIO"/>
    <x v="4"/>
    <s v=""/>
    <s v="CENTRAL MINORISTA DE ABASTOS DE VILLAVICENCIO - CEMERCA Local A2807"/>
    <s v="0"/>
    <s v="0"/>
    <s v="COMERCIALIZABLE"/>
    <s v="COMERCIAL"/>
    <n v="12305000"/>
    <x v="13"/>
    <s v=""/>
    <n v="12305000"/>
    <s v=""/>
    <s v=""/>
    <m/>
  </r>
  <r>
    <s v="18186"/>
    <s v="VILLAVICENCIO"/>
    <x v="4"/>
    <s v=""/>
    <s v="CENTRAL MINORISTA DE ABASTOS DE VILLAVICENCIO - CEMERCA Local A2809"/>
    <s v="0"/>
    <s v="0"/>
    <s v="COMERCIALIZABLE"/>
    <s v="COMERCIAL"/>
    <n v="12305000"/>
    <x v="13"/>
    <s v=""/>
    <n v="12305000"/>
    <s v=""/>
    <s v=""/>
    <m/>
  </r>
  <r>
    <s v="18188"/>
    <s v="VILLAVICENCIO"/>
    <x v="4"/>
    <s v=""/>
    <s v="CENTRAL MINORISTA DE ABASTOS DE VILLAVICENCIO - CEMERCA Local A2814"/>
    <s v="0"/>
    <s v="0"/>
    <s v="COMERCIALIZABLE"/>
    <s v="COMERCIAL"/>
    <n v="12305000"/>
    <x v="13"/>
    <s v=""/>
    <n v="12305000"/>
    <s v=""/>
    <s v=""/>
    <m/>
  </r>
  <r>
    <s v="18189"/>
    <s v="VILLAVICENCIO"/>
    <x v="4"/>
    <s v=""/>
    <s v="CENTRAL MINORISTA DE ABASTOS DE VILLAVICENCIO - CEMERCA Local A2815"/>
    <s v="0"/>
    <s v="0"/>
    <s v="COMERCIALIZABLE"/>
    <s v="COMERCIAL"/>
    <n v="12305000"/>
    <x v="13"/>
    <s v=""/>
    <n v="12305000"/>
    <s v=""/>
    <s v=""/>
    <m/>
  </r>
  <r>
    <s v="18190"/>
    <s v="VILLAVICENCIO"/>
    <x v="4"/>
    <s v=""/>
    <s v="CENTRAL MINORISTA DE ABASTOS DE VILLAVICENCIO - CEMERCA Local A2816"/>
    <s v="0"/>
    <s v="0"/>
    <s v="COMERCIALIZABLE"/>
    <s v="COMERCIAL"/>
    <n v="12305000"/>
    <x v="13"/>
    <s v=""/>
    <n v="12305000"/>
    <s v=""/>
    <s v=""/>
    <m/>
  </r>
  <r>
    <s v="18191"/>
    <s v="VILLAVICENCIO"/>
    <x v="4"/>
    <s v=""/>
    <s v="CENTRAL MINORISTA DE ABASTOS DE VILLAVICENCIO - CEMERCA Local A2817"/>
    <s v="0"/>
    <s v="0"/>
    <s v="COMERCIALIZABLE"/>
    <s v="COMERCIAL"/>
    <n v="12305000"/>
    <x v="13"/>
    <s v=""/>
    <n v="12305000"/>
    <s v=""/>
    <s v=""/>
    <m/>
  </r>
  <r>
    <s v="18192"/>
    <s v="VILLAVICENCIO"/>
    <x v="4"/>
    <s v=""/>
    <s v="CENTRAL MINORISTA DE ABASTOS DE VILLAVICENCIO - CEMERCA Local A2818"/>
    <s v="0"/>
    <s v="0"/>
    <s v="COMERCIALIZABLE"/>
    <s v="COMERCIAL"/>
    <n v="12305000"/>
    <x v="13"/>
    <s v=""/>
    <n v="12305000"/>
    <s v=""/>
    <s v=""/>
    <m/>
  </r>
  <r>
    <s v="18193"/>
    <s v="VILLAVICENCIO"/>
    <x v="4"/>
    <s v=""/>
    <s v="CENTRAL MINORISTA DE ABASTOS DE VILLAVICENCIO - CEMERCA Local A2819"/>
    <s v="0"/>
    <s v="0"/>
    <s v="COMERCIALIZABLE"/>
    <s v="COMERCIAL"/>
    <n v="12305000"/>
    <x v="13"/>
    <s v=""/>
    <n v="12305000"/>
    <s v=""/>
    <s v=""/>
    <m/>
  </r>
  <r>
    <s v="18194"/>
    <s v="VILLAVICENCIO"/>
    <x v="4"/>
    <s v=""/>
    <s v="CENTRAL MINORISTA DE ABASTOS DE VILLAVICENCIO - CEMERCA Local A2820"/>
    <s v="0"/>
    <s v="0"/>
    <s v="COMERCIALIZABLE"/>
    <s v="COMERCIAL"/>
    <n v="12305000"/>
    <x v="13"/>
    <s v=""/>
    <n v="12305000"/>
    <s v=""/>
    <s v=""/>
    <m/>
  </r>
  <r>
    <s v="18195"/>
    <s v="VILLAVICENCIO"/>
    <x v="4"/>
    <s v=""/>
    <s v="CENTRAL MINORISTA DE ABASTOS DE VILLAVICENCIO - CEMERCA Local A2821"/>
    <s v="0"/>
    <s v="0"/>
    <s v="COMERCIALIZABLE"/>
    <s v="COMERCIAL"/>
    <n v="12305000"/>
    <x v="13"/>
    <s v=""/>
    <n v="12305000"/>
    <s v=""/>
    <s v=""/>
    <m/>
  </r>
  <r>
    <s v="18197"/>
    <s v="VILLAVICENCIO"/>
    <x v="4"/>
    <s v=""/>
    <s v="CENTRAL MINORISTA DE ABASTOS DE VILLAVICENCIO - CEMERCA Local A2902"/>
    <s v="0"/>
    <s v="0"/>
    <s v="COMERCIALIZABLE"/>
    <s v="COMERCIAL"/>
    <n v="12305000"/>
    <x v="13"/>
    <s v=""/>
    <n v="12305000"/>
    <s v=""/>
    <s v=""/>
    <m/>
  </r>
  <r>
    <s v="18198"/>
    <s v="VILLAVICENCIO"/>
    <x v="4"/>
    <s v=""/>
    <s v="CENTRAL MINORISTA DE ABASTOS DE VILLAVICENCIO - CEMERCA Local A2904"/>
    <s v="0"/>
    <s v="0"/>
    <s v="COMERCIALIZABLE"/>
    <s v="COMERCIAL"/>
    <n v="12305000"/>
    <x v="13"/>
    <s v=""/>
    <n v="12305000"/>
    <s v=""/>
    <s v=""/>
    <m/>
  </r>
  <r>
    <s v="18199"/>
    <s v="VILLAVICENCIO"/>
    <x v="4"/>
    <s v=""/>
    <s v="CENTRAL MINORISTA DE ABASTOS DE VILLAVICENCIO - CEMERCA Local A2905"/>
    <s v="0"/>
    <s v="0"/>
    <s v="COMERCIALIZABLE"/>
    <s v="COMERCIAL"/>
    <n v="12305000"/>
    <x v="13"/>
    <s v=""/>
    <n v="12305000"/>
    <s v=""/>
    <s v=""/>
    <m/>
  </r>
  <r>
    <s v="18200"/>
    <s v="VILLAVICENCIO"/>
    <x v="4"/>
    <s v=""/>
    <s v="CENTRAL MINORISTA DE ABASTOS DE VILLAVICENCIO - CEMERCA Local A2906"/>
    <s v="0"/>
    <s v="0"/>
    <s v="COMERCIALIZABLE"/>
    <s v="COMERCIAL"/>
    <n v="12305000"/>
    <x v="13"/>
    <s v=""/>
    <n v="12305000"/>
    <s v=""/>
    <s v=""/>
    <m/>
  </r>
  <r>
    <s v="18201"/>
    <s v="VILLAVICENCIO"/>
    <x v="4"/>
    <s v=""/>
    <s v="CENTRAL MINORISTA DE ABASTOS DE VILLAVICENCIO - CEMERCA Local A2907"/>
    <s v="0"/>
    <s v="0"/>
    <s v="COMERCIALIZABLE"/>
    <s v="COMERCIAL"/>
    <n v="12305000"/>
    <x v="13"/>
    <s v=""/>
    <n v="12305000"/>
    <s v=""/>
    <s v=""/>
    <m/>
  </r>
  <r>
    <s v="18202"/>
    <s v="VILLAVICENCIO"/>
    <x v="4"/>
    <s v=""/>
    <s v="CENTRAL MINORISTA DE ABASTOS DE VILLAVICENCIO - CEMERCA Local A2908"/>
    <s v="0"/>
    <s v="0"/>
    <s v="COMERCIALIZABLE"/>
    <s v="COMERCIAL"/>
    <n v="12305000"/>
    <x v="13"/>
    <s v=""/>
    <n v="12305000"/>
    <s v=""/>
    <s v=""/>
    <m/>
  </r>
  <r>
    <s v="18203"/>
    <s v="VILLAVICENCIO"/>
    <x v="4"/>
    <s v=""/>
    <s v="CENTRAL MINORISTA DE ABASTOS DE VILLAVICENCIO - CEMERCA Local A2909"/>
    <s v="0"/>
    <s v="0"/>
    <s v="COMERCIALIZABLE"/>
    <s v="COMERCIAL"/>
    <n v="12305000"/>
    <x v="13"/>
    <s v=""/>
    <n v="12305000"/>
    <s v=""/>
    <s v=""/>
    <m/>
  </r>
  <r>
    <s v="18204"/>
    <s v="VILLAVICENCIO"/>
    <x v="4"/>
    <s v=""/>
    <s v="CENTRAL MINORISTA DE ABASTOS DE VILLAVICENCIO - CEMERCA Local A2910"/>
    <s v="0"/>
    <s v="0"/>
    <s v="COMERCIALIZABLE"/>
    <s v="COMERCIAL"/>
    <n v="12305000"/>
    <x v="13"/>
    <s v=""/>
    <n v="12305000"/>
    <s v=""/>
    <s v=""/>
    <m/>
  </r>
  <r>
    <s v="18207"/>
    <s v="VILLAVICENCIO"/>
    <x v="4"/>
    <s v=""/>
    <s v="CENTRAL MINORISTA DE ABASTOS DE VILLAVICENCIO - CEMERCA Local A2913"/>
    <s v="0"/>
    <s v="0"/>
    <s v="COMERCIALIZABLE"/>
    <s v="COMERCIAL"/>
    <n v="12305000"/>
    <x v="13"/>
    <s v=""/>
    <n v="12305000"/>
    <s v=""/>
    <s v=""/>
    <m/>
  </r>
  <r>
    <s v="18208"/>
    <s v="VILLAVICENCIO"/>
    <x v="4"/>
    <s v=""/>
    <s v="CENTRAL MINORISTA DE ABASTOS DE VILLAVICENCIO - CEMERCA Local A2914"/>
    <s v="0"/>
    <s v="0"/>
    <s v="COMERCIALIZABLE"/>
    <s v="COMERCIAL"/>
    <n v="12305000"/>
    <x v="13"/>
    <s v=""/>
    <n v="12305000"/>
    <s v=""/>
    <s v=""/>
    <m/>
  </r>
  <r>
    <s v="18209"/>
    <s v="VILLAVICENCIO"/>
    <x v="4"/>
    <s v=""/>
    <s v="CENTRAL MINORISTA DE ABASTOS DE VILLAVICENCIO - CEMERCA Local A2915"/>
    <s v="0"/>
    <s v="0"/>
    <s v="COMERCIALIZABLE"/>
    <s v="COMERCIAL"/>
    <n v="12305000"/>
    <x v="13"/>
    <s v=""/>
    <n v="12305000"/>
    <s v=""/>
    <s v=""/>
    <m/>
  </r>
  <r>
    <s v="18210"/>
    <s v="VILLAVICENCIO"/>
    <x v="4"/>
    <s v=""/>
    <s v="CENTRAL MINORISTA DE ABASTOS DE VILLAVICENCIO - CEMERCA Local A2916"/>
    <s v="0"/>
    <s v="0"/>
    <s v="COMERCIALIZABLE"/>
    <s v="COMERCIAL"/>
    <n v="12305000"/>
    <x v="13"/>
    <s v=""/>
    <n v="12305000"/>
    <s v=""/>
    <s v=""/>
    <m/>
  </r>
  <r>
    <s v="18211"/>
    <s v="VILLAVICENCIO"/>
    <x v="4"/>
    <s v=""/>
    <s v="CENTRAL MINORISTA DE ABASTOS DE VILLAVICENCIO - CEMERCA Local A2917"/>
    <s v="0"/>
    <s v="0"/>
    <s v="COMERCIALIZABLE"/>
    <s v="COMERCIAL"/>
    <n v="12305000"/>
    <x v="13"/>
    <s v=""/>
    <n v="12305000"/>
    <s v=""/>
    <s v=""/>
    <m/>
  </r>
  <r>
    <s v="18212"/>
    <s v="VILLAVICENCIO"/>
    <x v="4"/>
    <s v=""/>
    <s v="CENTRAL MINORISTA DE ABASTOS DE VILLAVICENCIO - CEMERCA Local A2918"/>
    <s v="0"/>
    <s v="0"/>
    <s v="COMERCIALIZABLE"/>
    <s v="COMERCIAL"/>
    <n v="12305000"/>
    <x v="13"/>
    <s v=""/>
    <n v="12305000"/>
    <s v=""/>
    <s v=""/>
    <m/>
  </r>
  <r>
    <s v="18213"/>
    <s v="VILLAVICENCIO"/>
    <x v="4"/>
    <s v=""/>
    <s v="CENTRAL MINORISTA DE ABASTOS DE VILLAVICENCIO - CEMERCA Local A2920"/>
    <s v="0"/>
    <s v="0"/>
    <s v="COMERCIALIZABLE"/>
    <s v="COMERCIAL"/>
    <n v="12305000"/>
    <x v="13"/>
    <s v=""/>
    <n v="12305000"/>
    <s v=""/>
    <s v=""/>
    <m/>
  </r>
  <r>
    <s v="18214"/>
    <s v="VILLAVICENCIO"/>
    <x v="4"/>
    <s v=""/>
    <s v="CENTRAL MINORISTA DE ABASTOS DE VILLAVICENCIO - CEMERCA Local A2921"/>
    <s v="0"/>
    <s v="0"/>
    <s v="COMERCIALIZABLE"/>
    <s v="COMERCIAL"/>
    <n v="12305000"/>
    <x v="13"/>
    <s v=""/>
    <n v="12305000"/>
    <s v=""/>
    <s v=""/>
    <m/>
  </r>
  <r>
    <s v="18219"/>
    <s v="VILLAVICENCIO"/>
    <x v="4"/>
    <s v=""/>
    <s v="CENTRAL MINORISTA DE ABASTOS DE VILLAVICENCIO - CEMERCA Local A3005"/>
    <s v="0"/>
    <s v="0"/>
    <s v="COMERCIALIZABLE"/>
    <s v="COMERCIAL"/>
    <n v="12305000"/>
    <x v="13"/>
    <s v=""/>
    <n v="12305000"/>
    <s v=""/>
    <s v=""/>
    <m/>
  </r>
  <r>
    <s v="18220"/>
    <s v="VILLAVICENCIO"/>
    <x v="4"/>
    <s v=""/>
    <s v="CENTRAL MINORISTA DE ABASTOS DE VILLAVICENCIO - CEMERCA Local A3006"/>
    <s v="0"/>
    <s v="0"/>
    <s v="COMERCIALIZABLE"/>
    <s v="COMERCIAL"/>
    <n v="12305000"/>
    <x v="13"/>
    <s v=""/>
    <n v="12305000"/>
    <s v=""/>
    <s v=""/>
    <m/>
  </r>
  <r>
    <s v="18222"/>
    <s v="VILLAVICENCIO"/>
    <x v="4"/>
    <s v=""/>
    <s v="CENTRAL MINORISTA DE ABASTOS DE VILLAVICENCIO - CEMERCA Local A3013"/>
    <s v="0"/>
    <s v="0"/>
    <s v="COMERCIALIZABLE"/>
    <s v="COMERCIAL"/>
    <n v="12305000"/>
    <x v="13"/>
    <s v=""/>
    <n v="12305000"/>
    <s v=""/>
    <s v=""/>
    <m/>
  </r>
  <r>
    <s v="18223"/>
    <s v="VILLAVICENCIO"/>
    <x v="4"/>
    <s v=""/>
    <s v="CENTRAL MINORISTA DE ABASTOS DE VILLAVICENCIO - CEMERCA Local A3015"/>
    <s v="0"/>
    <s v="0"/>
    <s v="COMERCIALIZABLE"/>
    <s v="COMERCIAL"/>
    <n v="12305000"/>
    <x v="13"/>
    <s v=""/>
    <n v="12305000"/>
    <s v=""/>
    <s v=""/>
    <m/>
  </r>
  <r>
    <s v="18224"/>
    <s v="VILLAVICENCIO"/>
    <x v="4"/>
    <s v=""/>
    <s v="CENTRAL MINORISTA DE ABASTOS DE VILLAVICENCIO - CEMERCA Local A3016"/>
    <s v="0"/>
    <s v="0"/>
    <s v="COMERCIALIZABLE"/>
    <s v="COMERCIAL"/>
    <n v="12305000"/>
    <x v="13"/>
    <s v=""/>
    <n v="12305000"/>
    <s v=""/>
    <s v=""/>
    <m/>
  </r>
  <r>
    <s v="18250"/>
    <s v="VILLAVICENCIO"/>
    <x v="4"/>
    <s v=""/>
    <s v="CENTRAL MINORISTA DE ABASTOS DE VILLAVICENCIO - CEMERCA Local A3304"/>
    <s v="0"/>
    <s v="0"/>
    <s v="COMERCIALIZABLE"/>
    <s v="COMERCIAL"/>
    <n v="12305000"/>
    <x v="13"/>
    <s v=""/>
    <n v="12305000"/>
    <s v=""/>
    <s v=""/>
    <m/>
  </r>
  <r>
    <s v="18251"/>
    <s v="VILLAVICENCIO"/>
    <x v="4"/>
    <s v=""/>
    <s v="CENTRAL MINORISTA DE ABASTOS DE VILLAVICENCIO - CEMERCA Local A3305"/>
    <s v="0"/>
    <s v="0"/>
    <s v="COMERCIALIZABLE"/>
    <s v="COMERCIAL"/>
    <n v="12305000"/>
    <x v="13"/>
    <s v=""/>
    <n v="12305000"/>
    <s v=""/>
    <s v=""/>
    <m/>
  </r>
  <r>
    <s v="18252"/>
    <s v="VILLAVICENCIO"/>
    <x v="4"/>
    <s v=""/>
    <s v="CENTRAL MINORISTA DE ABASTOS DE VILLAVICENCIO - CEMERCA Local A3309"/>
    <s v="0"/>
    <s v="0"/>
    <s v="COMERCIALIZABLE"/>
    <s v="COMERCIAL"/>
    <n v="12305000"/>
    <x v="13"/>
    <s v=""/>
    <n v="12305000"/>
    <s v=""/>
    <s v=""/>
    <m/>
  </r>
  <r>
    <s v="18253"/>
    <s v="VILLAVICENCIO"/>
    <x v="4"/>
    <s v=""/>
    <s v="CENTRAL MINORISTA DE ABASTOS DE VILLAVICENCIO - CEMERCA Local A3310"/>
    <s v="0"/>
    <s v="0"/>
    <s v="COMERCIALIZABLE"/>
    <s v="COMERCIAL"/>
    <n v="12305000"/>
    <x v="13"/>
    <s v=""/>
    <n v="12305000"/>
    <s v=""/>
    <s v=""/>
    <m/>
  </r>
  <r>
    <s v="18254"/>
    <s v="VILLAVICENCIO"/>
    <x v="4"/>
    <s v=""/>
    <s v="CENTRAL MINORISTA DE ABASTOS DE VILLAVICENCIO - CEMERCA Local A3311"/>
    <s v="0"/>
    <s v="0"/>
    <s v="EN PUJA"/>
    <s v="COMERCIAL"/>
    <n v="12305000"/>
    <x v="13"/>
    <s v=""/>
    <n v="12305000"/>
    <s v=""/>
    <s v=""/>
    <m/>
  </r>
  <r>
    <s v="18256"/>
    <s v="VILLAVICENCIO"/>
    <x v="4"/>
    <s v=""/>
    <s v="CENTRAL MINORISTA DE ABASTOS DE VILLAVICENCIO - CEMERCA Local A3403"/>
    <s v="0"/>
    <s v="0"/>
    <s v="COMERCIALIZABLE"/>
    <s v="COMERCIAL"/>
    <n v="12305000"/>
    <x v="13"/>
    <s v=""/>
    <n v="12305000"/>
    <s v=""/>
    <s v=""/>
    <m/>
  </r>
  <r>
    <s v="18257"/>
    <s v="VILLAVICENCIO"/>
    <x v="4"/>
    <s v=""/>
    <s v="CENTRAL MINORISTA DE ABASTOS DE VILLAVICENCIO - CEMERCA Local A3404"/>
    <s v="0"/>
    <s v="0"/>
    <s v="COMERCIALIZABLE"/>
    <s v="COMERCIAL"/>
    <n v="12305000"/>
    <x v="13"/>
    <s v=""/>
    <n v="12305000"/>
    <s v=""/>
    <s v=""/>
    <m/>
  </r>
  <r>
    <s v="18258"/>
    <s v="VILLAVICENCIO"/>
    <x v="4"/>
    <s v=""/>
    <s v="CENTRAL MINORISTA DE ABASTOS DE VILLAVICENCIO - CEMERCA Local A3405"/>
    <s v="0"/>
    <s v="0"/>
    <s v="COMERCIALIZABLE"/>
    <s v="COMERCIAL"/>
    <n v="12305000"/>
    <x v="13"/>
    <s v=""/>
    <n v="12305000"/>
    <s v=""/>
    <s v=""/>
    <m/>
  </r>
  <r>
    <s v="18259"/>
    <s v="VILLAVICENCIO"/>
    <x v="4"/>
    <s v=""/>
    <s v="CENTRAL MINORISTA DE ABASTOS DE VILLAVICENCIO - CEMERCA Local A3406"/>
    <s v="0"/>
    <s v="0"/>
    <s v="COMERCIALIZABLE"/>
    <s v="COMERCIAL"/>
    <n v="12305000"/>
    <x v="13"/>
    <s v=""/>
    <n v="12305000"/>
    <s v=""/>
    <s v=""/>
    <m/>
  </r>
  <r>
    <s v="18261"/>
    <s v="VILLAVICENCIO"/>
    <x v="4"/>
    <s v=""/>
    <s v="CENTRAL MINORISTA DE ABASTOS DE VILLAVICENCIO - CEMERCA Local A3410"/>
    <s v="0"/>
    <s v="0"/>
    <s v="COMERCIALIZABLE"/>
    <s v="COMERCIAL"/>
    <n v="12305000"/>
    <x v="13"/>
    <s v=""/>
    <n v="12305000"/>
    <s v=""/>
    <s v=""/>
    <m/>
  </r>
  <r>
    <s v="18262"/>
    <s v="VILLAVICENCIO"/>
    <x v="4"/>
    <s v=""/>
    <s v="CENTRAL MINORISTA DE ABASTOS DE VILLAVICENCIO - CEMERCA Local A3411"/>
    <s v="0"/>
    <s v="0"/>
    <s v="COMERCIALIZABLE"/>
    <s v="COMERCIAL"/>
    <n v="12305000"/>
    <x v="13"/>
    <s v=""/>
    <n v="12305000"/>
    <s v=""/>
    <s v=""/>
    <m/>
  </r>
  <r>
    <s v="18264"/>
    <s v="VILLAVICENCIO"/>
    <x v="4"/>
    <s v=""/>
    <s v="CENTRAL MINORISTA DE ABASTOS DE VILLAVICENCIO - CEMERCA Local A3503"/>
    <s v="0"/>
    <s v="0"/>
    <s v="COMERCIALIZABLE"/>
    <s v="COMERCIAL"/>
    <n v="12305000"/>
    <x v="13"/>
    <s v=""/>
    <n v="12305000"/>
    <s v=""/>
    <s v=""/>
    <m/>
  </r>
  <r>
    <s v="18265"/>
    <s v="VILLAVICENCIO"/>
    <x v="4"/>
    <s v=""/>
    <s v="CENTRAL MINORISTA DE ABASTOS DE VILLAVICENCIO - CEMERCA Local A3504"/>
    <s v="0"/>
    <s v="0"/>
    <s v="COMERCIALIZABLE"/>
    <s v="COMERCIAL"/>
    <n v="12305000"/>
    <x v="13"/>
    <s v=""/>
    <n v="12305000"/>
    <s v=""/>
    <s v=""/>
    <m/>
  </r>
  <r>
    <s v="18266"/>
    <s v="VILLAVICENCIO"/>
    <x v="4"/>
    <s v=""/>
    <s v="CENTRAL MINORISTA DE ABASTOS DE VILLAVICENCIO - CEMERCA Local A3505"/>
    <s v="0"/>
    <s v="0"/>
    <s v="COMERCIALIZABLE"/>
    <s v="COMERCIAL"/>
    <n v="12305000"/>
    <x v="13"/>
    <s v=""/>
    <n v="12305000"/>
    <s v=""/>
    <s v=""/>
    <m/>
  </r>
  <r>
    <s v="18267"/>
    <s v="VILLAVICENCIO"/>
    <x v="4"/>
    <s v=""/>
    <s v="CENTRAL MINORISTA DE ABASTOS DE VILLAVICENCIO - CEMERCA Local A3506"/>
    <s v="0"/>
    <s v="0"/>
    <s v="COMERCIALIZABLE"/>
    <s v="COMERCIAL"/>
    <n v="12305000"/>
    <x v="13"/>
    <s v=""/>
    <n v="12305000"/>
    <s v=""/>
    <s v=""/>
    <m/>
  </r>
  <r>
    <s v="18269"/>
    <s v="VILLAVICENCIO"/>
    <x v="4"/>
    <s v=""/>
    <s v="CENTRAL MINORISTA DE ABASTOS DE VILLAVICENCIO - CEMERCA Local A3509"/>
    <s v="0"/>
    <s v="0"/>
    <s v="COMERCIALIZABLE"/>
    <s v="COMERCIAL"/>
    <n v="12305000"/>
    <x v="13"/>
    <s v=""/>
    <n v="12305000"/>
    <s v=""/>
    <s v=""/>
    <m/>
  </r>
  <r>
    <s v="18270"/>
    <s v="VILLAVICENCIO"/>
    <x v="4"/>
    <s v=""/>
    <s v="CENTRAL MINORISTA DE ABASTOS DE VILLAVICENCIO - CEMERCA Local A3511"/>
    <s v="0"/>
    <s v="0"/>
    <s v="COMERCIALIZABLE"/>
    <s v="COMERCIAL"/>
    <n v="12305000"/>
    <x v="13"/>
    <s v=""/>
    <n v="12305000"/>
    <s v=""/>
    <s v=""/>
    <m/>
  </r>
  <r>
    <s v="18271"/>
    <s v="VILLAVICENCIO"/>
    <x v="4"/>
    <s v=""/>
    <s v="CENTRAL MINORISTA DE ABASTOS DE VILLAVICENCIO - CEMERCA Local A3512"/>
    <s v="0"/>
    <s v="0"/>
    <s v="COMERCIALIZABLE"/>
    <s v="COMERCIAL"/>
    <n v="12305000"/>
    <x v="13"/>
    <s v=""/>
    <n v="12305000"/>
    <s v=""/>
    <s v=""/>
    <m/>
  </r>
  <r>
    <s v="18272"/>
    <s v="VILLAVICENCIO"/>
    <x v="4"/>
    <s v=""/>
    <s v="CENTRAL MINORISTA DE ABASTOS DE VILLAVICENCIO - CEMERCA Local A3513"/>
    <s v="0"/>
    <s v="0"/>
    <s v="COMERCIALIZABLE"/>
    <s v="COMERCIAL"/>
    <n v="12305000"/>
    <x v="13"/>
    <s v=""/>
    <n v="12305000"/>
    <s v=""/>
    <s v=""/>
    <m/>
  </r>
  <r>
    <s v="18274"/>
    <s v="VILLAVICENCIO"/>
    <x v="4"/>
    <s v=""/>
    <s v="CENTRAL MINORISTA DE ABASTOS DE VILLAVICENCIO - CEMERCA Local A3602"/>
    <s v="0"/>
    <s v="0"/>
    <s v="COMERCIALIZABLE"/>
    <s v="COMERCIAL"/>
    <n v="12305000"/>
    <x v="13"/>
    <s v=""/>
    <n v="12305000"/>
    <s v=""/>
    <s v=""/>
    <m/>
  </r>
  <r>
    <s v="18275"/>
    <s v="VILLAVICENCIO"/>
    <x v="4"/>
    <s v=""/>
    <s v="CENTRAL MINORISTA DE ABASTOS DE VILLAVICENCIO - CEMERCA Local A3603"/>
    <s v="0"/>
    <s v="0"/>
    <s v="COMERCIALIZABLE"/>
    <s v="COMERCIAL"/>
    <n v="12305000"/>
    <x v="13"/>
    <s v=""/>
    <n v="12305000"/>
    <s v=""/>
    <s v=""/>
    <m/>
  </r>
  <r>
    <s v="18276"/>
    <s v="VILLAVICENCIO"/>
    <x v="4"/>
    <s v=""/>
    <s v="CENTRAL MINORISTA DE ABASTOS DE VILLAVICENCIO - CEMERCA Local A3604"/>
    <s v="0"/>
    <s v="0"/>
    <s v="COMERCIALIZABLE"/>
    <s v="COMERCIAL"/>
    <n v="12305000"/>
    <x v="13"/>
    <s v=""/>
    <n v="12305000"/>
    <s v=""/>
    <s v=""/>
    <m/>
  </r>
  <r>
    <s v="18277"/>
    <s v="VILLAVICENCIO"/>
    <x v="4"/>
    <s v=""/>
    <s v="CENTRAL MINORISTA DE ABASTOS DE VILLAVICENCIO - CEMERCA Local A3607"/>
    <s v="0"/>
    <s v="0"/>
    <s v="COMERCIALIZABLE"/>
    <s v="COMERCIAL"/>
    <n v="12305000"/>
    <x v="13"/>
    <s v=""/>
    <n v="12305000"/>
    <s v=""/>
    <s v=""/>
    <m/>
  </r>
  <r>
    <s v="18552"/>
    <s v="PACORA"/>
    <x v="10"/>
    <s v=""/>
    <s v="URBANIZACION FERNANDO GAVIRIA LOTE 16 MZ 6"/>
    <s v="0"/>
    <s v="0"/>
    <s v="COMERCIALIZABLE CON RESTRICCION"/>
    <s v="UNO"/>
    <n v="12240000"/>
    <x v="1"/>
    <s v="SE TRATA DE DIECISÉIS LOTES DE TERRENO SIN CONSTRUCCIÓN ALGUNA (LOTES DE TERRENO), LOCALIZADOS EN LA MANZANA 6 DE LA URBANIZACIÓN FERNANDO GAVIRIA, LOTE CERCA AL PARQUE PRINCIPAL, HOSPITAL SANTA TERESA, CUARTEL DE LA POLICIA, ENTRE OTROS"/>
    <n v="12240000"/>
    <s v=""/>
    <s v=""/>
    <m/>
  </r>
  <r>
    <s v="18555"/>
    <s v="PACORA"/>
    <x v="10"/>
    <s v=""/>
    <s v="URBANIZACION FERNANDO GAVIRIA LOTE 13 MZ 6"/>
    <s v="0"/>
    <s v="0"/>
    <s v="COMERCIALIZABLE CON RESTRICCION"/>
    <s v="UNO"/>
    <n v="12240000"/>
    <x v="1"/>
    <s v="ESTE LOTE SE VENDE JUNTO CON OTROS 15 DE LA MISMA ZONA POR EL VALOR DE LOS GASTOS CAUSADOS HASTA LA FECHA DE PRESENTACION DE LA OFERTA, EL CUAL A OCT DEL 2020 ES $89,000,000 (VALOR A CONFIRMAR CON FINANCIERA ANTES DE CERRAR CUALQUIER NEGOCIACION),"/>
    <n v="12240000"/>
    <s v=""/>
    <s v=""/>
    <m/>
  </r>
  <r>
    <s v="18563"/>
    <s v="PACORA"/>
    <x v="10"/>
    <s v=""/>
    <s v="URBANIZACION FERNANDO GAVIRIA LOTE 5 MZ 6"/>
    <s v="0"/>
    <s v="0"/>
    <s v="COMERCIALIZABLE CON RESTRICCION"/>
    <s v="UNO"/>
    <n v="12240000"/>
    <x v="1"/>
    <s v="SE TRATA DE DIECISÉIS LOTES DE TERRENO SIN CONSTRUCCIÓN ALGUNA (LOTES DE TERRENO), LOCALIZADOS EN LA MANZANA 6 DE LA URBANIZACIÓN FERNANDO GAVIRIA, LOTE CERCA AL PARQUE PRINCIPAL, HOSPITAL SANTA TERESA, CUARTEL DE LA POLICIA, ENTRE OTROS"/>
    <n v="12240000"/>
    <s v=""/>
    <s v=""/>
    <m/>
  </r>
  <r>
    <s v="18087"/>
    <s v="VILLAVICENCIO"/>
    <x v="4"/>
    <s v=""/>
    <s v="CENTRAL MINORISTA DE ABASTOS DE VILLAVICENCIO - CEMERCA Local A0218"/>
    <s v="0"/>
    <s v="0"/>
    <s v="EN PUJA"/>
    <s v="COMERCIAL"/>
    <n v="12171250"/>
    <x v="13"/>
    <s v=""/>
    <n v="12171250"/>
    <s v=""/>
    <s v=""/>
    <m/>
  </r>
  <r>
    <s v="18340"/>
    <s v="VILLAVICENCIO"/>
    <x v="4"/>
    <s v=""/>
    <s v="CENTRAL MINORISTA DE ABASTOS DE VILLAVICENCIO - CEMERCA Local E0111"/>
    <s v="0"/>
    <s v="0"/>
    <s v="COMERCIALIZABLE"/>
    <s v="COMERCIAL"/>
    <n v="11680000"/>
    <x v="13"/>
    <s v=""/>
    <n v="11680000"/>
    <s v=""/>
    <s v=""/>
    <m/>
  </r>
  <r>
    <s v="18341"/>
    <s v="VILLAVICENCIO"/>
    <x v="4"/>
    <s v=""/>
    <s v="CENTRAL MINORISTA DE ABASTOS DE VILLAVICENCIO - CEMERCA Local E0203"/>
    <s v="0"/>
    <s v="0"/>
    <s v="COMERCIALIZABLE"/>
    <s v="COMERCIAL"/>
    <n v="11680000"/>
    <x v="13"/>
    <s v=""/>
    <n v="11680000"/>
    <s v=""/>
    <s v=""/>
    <m/>
  </r>
  <r>
    <s v="18342"/>
    <s v="VILLAVICENCIO"/>
    <x v="4"/>
    <s v=""/>
    <s v="CENTRAL MINORISTA DE ABASTOS DE VILLAVICENCIO - CEMERCA Local E0204"/>
    <s v="0"/>
    <s v="0"/>
    <s v="COMERCIALIZABLE"/>
    <s v="COMERCIAL"/>
    <n v="11680000"/>
    <x v="13"/>
    <s v=""/>
    <n v="11680000"/>
    <s v=""/>
    <s v=""/>
    <m/>
  </r>
  <r>
    <s v="18352"/>
    <s v="VILLAVICENCIO"/>
    <x v="4"/>
    <s v=""/>
    <s v="CENTRAL MINORISTA DE ABASTOS DE VILLAVICENCIO - CEMERCA Local E0614"/>
    <s v="0"/>
    <s v="0"/>
    <s v="COMERCIALIZABLE"/>
    <s v="COMERCIAL"/>
    <n v="11680000"/>
    <x v="13"/>
    <s v=""/>
    <n v="11680000"/>
    <s v=""/>
    <s v=""/>
    <m/>
  </r>
  <r>
    <s v="18353"/>
    <s v="VILLAVICENCIO"/>
    <x v="4"/>
    <s v=""/>
    <s v="CENTRAL MINORISTA DE ABASTOS DE VILLAVICENCIO - CEMERCA Local E0617"/>
    <s v="0"/>
    <s v="0"/>
    <s v="COMERCIALIZABLE"/>
    <s v="COMERCIAL"/>
    <n v="11680000"/>
    <x v="13"/>
    <s v=""/>
    <n v="11680000"/>
    <s v=""/>
    <s v=""/>
    <m/>
  </r>
  <r>
    <s v="18553"/>
    <s v="PACORA"/>
    <x v="10"/>
    <s v=""/>
    <s v="URBANIZACION FERNANDO GAVIRIA LOTE 15 MZ 6"/>
    <s v="0"/>
    <s v="0"/>
    <s v="COMERCIALIZABLE CON RESTRICCION"/>
    <s v="UNO"/>
    <n v="11232000"/>
    <x v="1"/>
    <s v="SE TRATA DE DIECISÉIS LOTES DE TERRENO SIN CONSTRUCCIÓN ALGUNA (LOTES DE TERRENO), LOCALIZADOS EN LA MANZANA 6 DE LA URBANIZACIÓN FERNANDO GAVIRIA, LOTE CERCA AL PARQUE PRINCIPAL, HOSPITAL SANTA TERESA, CUARTEL DE LA POLICIA, ENTRE OTROS"/>
    <n v="11232000"/>
    <s v=""/>
    <s v=""/>
    <m/>
  </r>
  <r>
    <s v="18554"/>
    <s v="PACORA"/>
    <x v="10"/>
    <s v=""/>
    <s v="URBANIZACION FERNANDO GAVIRIA LOTE 14 MZ 6"/>
    <s v="0"/>
    <s v="0"/>
    <s v="COMERCIALIZABLE CON RESTRICCION"/>
    <s v="UNO"/>
    <n v="11232000"/>
    <x v="1"/>
    <s v="SE TRATA DE DIECISÉIS LOTES DE TERRENO SIN CONSTRUCCIÓN ALGUNA (LOTES DE TERRENO), LOCALIZADOS EN LA MANZANA 6 DE LA URBANIZACIÓN FERNANDO GAVIRIA, LOTE CERCA AL PARQUE PRINCIPAL, HOSPITAL SANTA TERESA, CUARTEL DE LA POLICIA, ENTRE OTROS"/>
    <n v="11232000"/>
    <s v=""/>
    <s v=""/>
    <m/>
  </r>
  <r>
    <s v="18560"/>
    <s v="PACORA"/>
    <x v="10"/>
    <s v=""/>
    <s v="URBANIZACION FERNANDO GAVIRIA LOTE 8 MZ 6"/>
    <s v="0"/>
    <s v="0"/>
    <s v="COMERCIALIZABLE CON RESTRICCION"/>
    <s v="UNO"/>
    <n v="11232000"/>
    <x v="1"/>
    <s v="SE TRATA DE DIECISÉIS LOTES DE TERRENO SIN CONSTRUCCIÓN ALGUNA (LOTES DE TERRENO), LOCALIZADOS EN LA MANZANA 6 DE LA URBANIZACIÓN FERNANDO GAVIRIA, LOTE CERCA AL PARQUE PRINCIPAL, HOSPITAL SANTA TERESA, CUARTEL DE LA POLICIA, ENTRE OTROS"/>
    <n v="11232000"/>
    <s v=""/>
    <s v=""/>
    <m/>
  </r>
  <r>
    <s v="18564"/>
    <s v="PACORA"/>
    <x v="10"/>
    <s v=""/>
    <s v="URBANIZACION FERNANDO GAVIRIA LOTE 4 MZ 6"/>
    <s v="0"/>
    <s v="0"/>
    <s v="COMERCIALIZABLE CON RESTRICCION"/>
    <s v="UNO"/>
    <n v="11232000"/>
    <x v="1"/>
    <s v="SE TRATA DE DIECISÉIS LOTES DE TERRENO SIN CONSTRUCCIÓN ALGUNA (LOTES DE TERRENO), LOCALIZADOS EN LA MANZANA 6 DE LA URBANIZACIÓN FERNANDO GAVIRIA, LOTE CERCA AL PARQUE PRINCIPAL, HOSPITAL SANTA TERESA, CUARTEL DE LA POLICIA, ENTRE OTROS"/>
    <n v="11232000"/>
    <s v=""/>
    <s v=""/>
    <m/>
  </r>
  <r>
    <s v="18565"/>
    <s v="PACORA"/>
    <x v="10"/>
    <s v=""/>
    <s v="URBANIZACION FERNANDO GAVIRIA LOTE 3 MZ 6"/>
    <s v="0"/>
    <s v="0"/>
    <s v="COMERCIALIZABLE CON RESTRICCION"/>
    <s v="UNO"/>
    <n v="11232000"/>
    <x v="1"/>
    <s v="SE TRATA DE DIECISÉIS LOTES DE TERRENO SIN CONSTRUCCIÓN ALGUNA (LOTES DE TERRENO), LOCALIZADOS EN LA MANZANA 6 DE LA URBANIZACIÓN FERNANDO GAVIRIA, LOTE CERCA AL PARQUE PRINCIPAL, HOSPITAL SANTA TERESA, CUARTEL DE LA POLICIA, ENTRE OTROS"/>
    <n v="11232000"/>
    <s v=""/>
    <s v=""/>
    <m/>
  </r>
  <r>
    <s v="18566"/>
    <s v="PACORA"/>
    <x v="10"/>
    <s v=""/>
    <s v="URBANIZACION FERNANDO GAVIRIA LOTE 2 MZ 6"/>
    <s v="0"/>
    <s v="0"/>
    <s v="COMERCIALIZABLE CON RESTRICCION"/>
    <s v="UNO"/>
    <n v="11232000"/>
    <x v="1"/>
    <s v="SE TRATA DE DIECISÉIS LOTES DE TERRENO SIN CONSTRUCCIÓN ALGUNA (LOTES DE TERRENO), LOCALIZADOS EN LA MANZANA 6 DE LA URBANIZACIÓN FERNANDO GAVIRIA, LOTE CERCA AL PARQUE PRINCIPAL, HOSPITAL SANTA TERESA, CUARTEL DE LA POLICIA, ENTRE OTROS"/>
    <n v="11232000"/>
    <s v=""/>
    <s v=""/>
    <m/>
  </r>
  <r>
    <s v="18567"/>
    <s v="PACORA"/>
    <x v="10"/>
    <s v=""/>
    <s v="URBANIZACION FERNANDO GAVIRIA LOTE 1 MZ 6"/>
    <s v="0"/>
    <s v="0"/>
    <s v="COMERCIALIZABLE CON RESTRICCION"/>
    <s v="UNO"/>
    <n v="11232000"/>
    <x v="1"/>
    <s v="SE TRATA DE DIECISÉIS LOTES DE TERRENO SIN CONSTRUCCIÓN ALGUNA (LOTES DE TERRENO), LOCALIZADOS EN LA MANZANA 6 DE LA URBANIZACIÓN FERNANDO GAVIRIA, LOTE CERCA AL PARQUE PRINCIPAL, HOSPITAL SANTA TERESA, CUARTEL DE LA POLICIA, ENTRE OTROS"/>
    <n v="11232000"/>
    <s v=""/>
    <s v=""/>
    <m/>
  </r>
  <r>
    <s v="18849"/>
    <s v="CARTAGENA"/>
    <x v="8"/>
    <s v=""/>
    <s v="KILÓMETRO 4  DE LA VÍA MAMONAL  CARRERA 56, #60D-240, #60D-170, BODEGA 23A BARRIO ARROZ BARATO SECTOR PUERTA DE HIERRO"/>
    <s v="0"/>
    <s v="0"/>
    <s v="COMERCIALIZABLE CON RESTRICCION"/>
    <s v="INDUSTRIAL"/>
    <n v="569416000"/>
    <x v="5"/>
    <s v="ESTE PORCENTAJE DE PROPIEDAD SE VENDE JUNTO CON OTROS 14 QUE CORRESPONDEN A BODEGAS UBICADAS EN LA  MISMA ZONA, POR UN PRECIO MINIMO DE VENTA DE $280,772,600,"/>
    <n v="569416000"/>
    <s v=""/>
    <s v=""/>
    <m/>
  </r>
  <r>
    <s v="18844"/>
    <s v="CARTAGENA"/>
    <x v="8"/>
    <s v=""/>
    <s v="KILÓMETRO 4  DE LA VÍA MAMONAL  CARRERA 56, #60D-240, #60D-170, BODEGA 7 BARRIO ARROZ BARATO SECTOR PUERTA DE HIERRO"/>
    <s v="0"/>
    <s v="0"/>
    <s v="COMERCIALIZABLE CON RESTRICCION"/>
    <s v="INDUSTRIAL"/>
    <n v="564192000"/>
    <x v="5"/>
    <s v="ESTE PORCENTAJE DE PROPIEDAD SE VENDE JUNTO CON OTROS 14 QUE CORRESPONDEN A BODEGAS UBICADAS EN LA  MISMA ZONA, POR UN PRECIO MINIMO DE VENTA DE $280,772,600,"/>
    <n v="564192000"/>
    <s v=""/>
    <s v=""/>
    <m/>
  </r>
  <r>
    <s v="18116"/>
    <s v="VILLAVICENCIO"/>
    <x v="4"/>
    <s v=""/>
    <s v="CENTRAL MINORISTA DE ABASTOS DE VILLAVICENCIO - CEMERCA Local A0901"/>
    <s v="0"/>
    <s v="0"/>
    <s v="COMERCIALIZABLE"/>
    <s v="COMERCIAL"/>
    <n v="10284500"/>
    <x v="13"/>
    <s v=""/>
    <n v="10284500"/>
    <s v=""/>
    <s v=""/>
    <m/>
  </r>
  <r>
    <s v="18556"/>
    <s v="PACORA"/>
    <x v="10"/>
    <s v=""/>
    <s v="URBANIZACION FERNANDO GAVIRIA LOTE 12 MZ 6"/>
    <s v="0"/>
    <s v="0"/>
    <s v="COMERCIALIZABLE CON RESTRICCION"/>
    <s v="UNO"/>
    <n v="10152000"/>
    <x v="1"/>
    <s v="SE TRATA DE DIECISÉIS LOTES DE TERRENO SIN CONSTRUCCIÓN ALGUNA (LOTES DE TERRENO), LOCALIZADOS EN LA MANZANA 6 DE LA URBANIZACIÓN FERNANDO GAVIRIA, LOTE CERCA AL PARQUE PRINCIPAL, HOSPITAL SANTA TERESA, CUARTEL DE LA POLICIA, ENTRE OTROS"/>
    <n v="10152000"/>
    <s v=""/>
    <s v=""/>
    <m/>
  </r>
  <r>
    <s v="18557"/>
    <s v="PACORA"/>
    <x v="10"/>
    <s v=""/>
    <s v="URBANIZACION FERNANDO GAVIRIA LOTE 11 MZ 6"/>
    <s v="0"/>
    <s v="0"/>
    <s v="COMERCIALIZABLE CON RESTRICCION"/>
    <s v="UNO"/>
    <n v="10152000"/>
    <x v="1"/>
    <s v="SE TRATA DE DIECISÉIS LOTES DE TERRENO SIN CONSTRUCCIÓN ALGUNA (LOTES DE TERRENO), LOCALIZADOS EN LA MANZANA 6 DE LA URBANIZACIÓN FERNANDO GAVIRIA, LOTE CERCA AL PARQUE PRINCIPAL, HOSPITAL SANTA TERESA, CUARTEL DE LA POLICIA, ENTRE OTROS"/>
    <n v="10152000"/>
    <s v=""/>
    <s v=""/>
    <m/>
  </r>
  <r>
    <s v="18558"/>
    <s v="PACORA"/>
    <x v="10"/>
    <s v=""/>
    <s v="URBANIZACION FERNANDO GAVIRIA LOTE 10 MZ 6"/>
    <s v="0"/>
    <s v="0"/>
    <s v="COMERCIALIZABLE CON RESTRICCION"/>
    <s v="UNO"/>
    <n v="10152000"/>
    <x v="1"/>
    <s v="SE TRATA DE DIECISÉIS LOTES DE TERRENO SIN CONSTRUCCIÓN ALGUNA (LOTES DE TERRENO), LOCALIZADOS EN LA MANZANA 6 DE LA URBANIZACIÓN FERNANDO GAVIRIA, LOTE CERCA AL PARQUE PRINCIPAL, HOSPITAL SANTA TERESA, CUARTEL DE LA POLICIA, ENTRE OTROS"/>
    <n v="10152000"/>
    <s v=""/>
    <s v=""/>
    <m/>
  </r>
  <r>
    <s v="18559"/>
    <s v="PACORA"/>
    <x v="10"/>
    <s v=""/>
    <s v="URBANIZACION FERNANDO GAVIRIA LOTE 9 MZ 6"/>
    <s v="0"/>
    <s v="0"/>
    <s v="COMERCIALIZABLE CON RESTRICCION"/>
    <s v="UNO"/>
    <n v="10152000"/>
    <x v="1"/>
    <s v="SE TRATA DE DIECISÉIS LOTES DE TERRENO SIN CONSTRUCCIÓN ALGUNA (LOTES DE TERRENO), LOCALIZADOS EN LA MANZANA 6 DE LA URBANIZACIÓN FERNANDO GAVIRIA, LOTE CERCA AL PARQUE PRINCIPAL, HOSPITAL SANTA TERESA, CUARTEL DE LA POLICIA, ENTRE OTROS"/>
    <n v="10152000"/>
    <s v=""/>
    <s v=""/>
    <m/>
  </r>
  <r>
    <s v="18561"/>
    <s v="PACORA"/>
    <x v="10"/>
    <s v=""/>
    <s v="URBANIZACION FERNANDO GAVIRIA LOTE 7 MZ 6"/>
    <s v="0"/>
    <s v="0"/>
    <s v="COMERCIALIZABLE CON RESTRICCION"/>
    <s v="UNO"/>
    <n v="10152000"/>
    <x v="1"/>
    <s v="SE TRATA DE DIECISÉIS LOTES DE TERRENO SIN CONSTRUCCIÓN ALGUNA (LOTES DE TERRENO), LOCALIZADOS EN LA MANZANA 6 DE LA URBANIZACIÓN FERNANDO GAVIRIA, LOTE CERCA AL PARQUE PRINCIPAL, HOSPITAL SANTA TERESA, CUARTEL DE LA POLICIA, ENTRE OTROS"/>
    <n v="10152000"/>
    <s v=""/>
    <s v=""/>
    <m/>
  </r>
  <r>
    <s v="18562"/>
    <s v="PACORA"/>
    <x v="10"/>
    <s v=""/>
    <s v="URBANIZACION FERNANDO GAVIRIA LOTE 6 MZ 6"/>
    <s v="0"/>
    <s v="0"/>
    <s v="COMERCIALIZABLE CON RESTRICCION"/>
    <s v="UNO"/>
    <n v="10152000"/>
    <x v="1"/>
    <s v="ESTE LOTE SE VENDE JUNTO CON OTROS 15 DE LA MISMA ZONA POR EL VALOR DE LOS GASTOS CAUSADOS HASTA LA FECHA DE PRESENTACION DE LA OFERTA, EL CUAL A OCT DEL 2020 ES $89,000,000 (VALOR A CONFIRMAR CON FINANCIERA ANTES DE CERRAR CUALQUIER NEGOCIACION),"/>
    <n v="10152000"/>
    <s v=""/>
    <s v=""/>
    <m/>
  </r>
  <r>
    <s v="18841"/>
    <s v="CARTAGENA"/>
    <x v="8"/>
    <s v=""/>
    <s v="KILÓMETRO 4  DE LA VÍA MAMONAL  CARRERA 56, #60D-240, #60D-170, BODEGA 5 BARRIO ARROZ BARATO SECTOR PUERTA DE HIERRO"/>
    <s v="0"/>
    <s v="0"/>
    <s v="COMERCIALIZABLE CON RESTRICCION"/>
    <s v="INDUSTRIAL"/>
    <n v="536766000"/>
    <x v="5"/>
    <s v="ESTE PORCENTAJE DE PROPIEDAD SE VENDE JUNTO CON OTROS 14 QUE CORRESPONDEN A BODEGAS UBICADAS EN LA  MISMA ZONA, POR UN PRECIO MINIMO DE VENTA DE $280,772,600,"/>
    <n v="536766000"/>
    <s v=""/>
    <s v=""/>
    <m/>
  </r>
  <r>
    <s v="18319"/>
    <s v="VILLAVICENCIO"/>
    <x v="4"/>
    <s v=""/>
    <s v="CENTRAL MINORISTA DE ABASTOS DE VILLAVICENCIO - CEMERCA Local B0301"/>
    <s v="0"/>
    <s v="0"/>
    <s v="COMERCIALIZABLE"/>
    <s v="COMERCIAL"/>
    <n v="9800000"/>
    <x v="13"/>
    <s v=""/>
    <n v="9800000"/>
    <s v=""/>
    <s v=""/>
    <m/>
  </r>
  <r>
    <s v="18336"/>
    <s v="VILLAVICENCIO"/>
    <x v="4"/>
    <s v=""/>
    <s v="CENTRAL MINORISTA DE ABASTOS DE VILLAVICENCIO - CEMERCA Local B0334"/>
    <s v="0"/>
    <s v="0"/>
    <s v="COMERCIALIZABLE"/>
    <s v="COMERCIAL"/>
    <n v="9800000"/>
    <x v="13"/>
    <s v=""/>
    <n v="9800000"/>
    <s v=""/>
    <s v=""/>
    <m/>
  </r>
  <r>
    <s v="18843"/>
    <s v="CARTAGENA"/>
    <x v="8"/>
    <s v=""/>
    <s v="KILÓMETRO 4  DE LA VÍA MAMONAL  CARRERA 56, #60D-240, #60D-170, BODEGA 6 BARRIO ARROZ BARATO SECTOR PUERTA DE HIERRO"/>
    <s v="0"/>
    <s v="0"/>
    <s v="COMERCIALIZABLE CON RESTRICCION"/>
    <s v="INDUSTRIAL"/>
    <n v="518482000"/>
    <x v="5"/>
    <s v="ESTE PORCENTAJE DE PROPIEDAD SE VENDE JUNTO CON OTROS 14 QUE CORRESPONDEN A BODEGAS UBICADAS EN LA  MISMA ZONA, POR UN PRECIO MINIMO DE VENTA DE $280,772,600,"/>
    <n v="518482000"/>
    <s v=""/>
    <s v=""/>
    <m/>
  </r>
  <r>
    <s v="18446"/>
    <s v="VILLAVICENCIO"/>
    <x v="4"/>
    <s v=""/>
    <s v="CENTRAL MINORISTA DE ABASTOS DE VILLAVICENCIO - CEMERCA Local G0701"/>
    <s v="0"/>
    <s v="0"/>
    <s v="COMERCIALIZABLE"/>
    <s v="COMERCIAL"/>
    <n v="8624000"/>
    <x v="13"/>
    <s v=""/>
    <n v="8624000"/>
    <s v=""/>
    <s v=""/>
    <m/>
  </r>
  <r>
    <s v="18496"/>
    <s v="VILLAVICENCIO"/>
    <x v="4"/>
    <s v=""/>
    <s v="CENTRAL MINORISTA DE ABASTOS DE VILLAVICENCIO - CEMERCA Local G1108"/>
    <s v="0"/>
    <s v="0"/>
    <s v="COMERCIALIZABLE"/>
    <s v="COMERCIAL"/>
    <n v="8379000"/>
    <x v="13"/>
    <s v=""/>
    <n v="8379000"/>
    <s v=""/>
    <s v=""/>
    <m/>
  </r>
  <r>
    <s v="18571"/>
    <s v="GIRARDOT"/>
    <x v="1"/>
    <s v=""/>
    <s v="LOCAL No, 10 CENTRO COMERCIAL EL PEÑON INN PLAZA"/>
    <s v="0"/>
    <s v="0"/>
    <s v="COMERCIALIZABLE CON RESTRICCION"/>
    <s v="COMERCIAL"/>
    <n v="5527387985"/>
    <x v="13"/>
    <s v=""/>
    <n v="5527387985"/>
    <s v=""/>
    <s v=""/>
    <m/>
  </r>
  <r>
    <s v="18117"/>
    <s v="VILLAVICENCIO"/>
    <x v="4"/>
    <s v=""/>
    <s v="CENTRAL MINORISTA DE ABASTOS DE VILLAVICENCIO - CEMERCA Local A0903"/>
    <s v="0"/>
    <s v="0"/>
    <s v="COMERCIALIZABLE"/>
    <s v="COMERCIAL"/>
    <n v="7350000"/>
    <x v="13"/>
    <s v=""/>
    <n v="7350000"/>
    <s v=""/>
    <s v=""/>
    <m/>
  </r>
  <r>
    <s v="18118"/>
    <s v="VILLAVICENCIO"/>
    <x v="4"/>
    <s v=""/>
    <s v="CENTRAL MINORISTA DE ABASTOS DE VILLAVICENCIO - CEMERCA Local A0904"/>
    <s v="0"/>
    <s v="0"/>
    <s v="COMERCIALIZABLE"/>
    <s v="COMERCIAL"/>
    <n v="7350000"/>
    <x v="13"/>
    <s v=""/>
    <n v="7350000"/>
    <s v=""/>
    <s v=""/>
    <m/>
  </r>
  <r>
    <s v="18119"/>
    <s v="VILLAVICENCIO"/>
    <x v="4"/>
    <s v=""/>
    <s v="CENTRAL MINORISTA DE ABASTOS DE VILLAVICENCIO - CEMERCA Local A0909"/>
    <s v="0"/>
    <s v="0"/>
    <s v="COMERCIALIZABLE"/>
    <s v="COMERCIAL"/>
    <n v="7350000"/>
    <x v="13"/>
    <s v=""/>
    <n v="7350000"/>
    <s v=""/>
    <s v=""/>
    <m/>
  </r>
  <r>
    <s v="18120"/>
    <s v="VILLAVICENCIO"/>
    <x v="4"/>
    <s v=""/>
    <s v="CENTRAL MINORISTA DE ABASTOS DE VILLAVICENCIO - CEMERCA Local A0918"/>
    <s v="0"/>
    <s v="0"/>
    <s v="COMERCIALIZABLE"/>
    <s v="COMERCIAL"/>
    <n v="7350000"/>
    <x v="13"/>
    <s v=""/>
    <n v="7350000"/>
    <s v=""/>
    <s v=""/>
    <m/>
  </r>
  <r>
    <s v="18121"/>
    <s v="VILLAVICENCIO"/>
    <x v="4"/>
    <s v=""/>
    <s v="CENTRAL MINORISTA DE ABASTOS DE VILLAVICENCIO - CEMERCA Local A0929"/>
    <s v="0"/>
    <s v="0"/>
    <s v="COMERCIALIZABLE"/>
    <s v="COMERCIAL"/>
    <n v="7350000"/>
    <x v="13"/>
    <s v=""/>
    <n v="7350000"/>
    <s v=""/>
    <s v=""/>
    <m/>
  </r>
  <r>
    <s v="18143"/>
    <s v="VILLAVICENCIO"/>
    <x v="4"/>
    <s v=""/>
    <s v="CENTRAL MINORISTA DE ABASTOS DE VILLAVICENCIO - CEMERCA Local A2003"/>
    <s v="0"/>
    <s v="0"/>
    <s v="COMERCIALIZABLE"/>
    <s v="COMERCIAL"/>
    <n v="7350000"/>
    <x v="13"/>
    <s v=""/>
    <n v="7350000"/>
    <s v=""/>
    <s v=""/>
    <m/>
  </r>
  <r>
    <s v="18144"/>
    <s v="VILLAVICENCIO"/>
    <x v="4"/>
    <s v=""/>
    <s v="CENTRAL MINORISTA DE ABASTOS DE VILLAVICENCIO - CEMERCA Local A2009"/>
    <s v="0"/>
    <s v="0"/>
    <s v="COMERCIALIZABLE"/>
    <s v="COMERCIAL"/>
    <n v="7350000"/>
    <x v="13"/>
    <s v=""/>
    <n v="7350000"/>
    <s v=""/>
    <s v=""/>
    <m/>
  </r>
  <r>
    <s v="18278"/>
    <s v="VILLAVICENCIO"/>
    <x v="4"/>
    <s v=""/>
    <s v="CENTRAL MINORISTA DE ABASTOS DE VILLAVICENCIO - CEMERCA Local A3803"/>
    <s v="0"/>
    <s v="0"/>
    <s v="COMERCIALIZABLE"/>
    <s v="COMERCIAL"/>
    <n v="7350000"/>
    <x v="13"/>
    <s v=""/>
    <n v="7350000"/>
    <s v=""/>
    <s v=""/>
    <m/>
  </r>
  <r>
    <s v="18279"/>
    <s v="VILLAVICENCIO"/>
    <x v="4"/>
    <s v=""/>
    <s v="CENTRAL MINORISTA DE ABASTOS DE VILLAVICENCIO - CEMERCA Local A3804"/>
    <s v="0"/>
    <s v="0"/>
    <s v="COMERCIALIZABLE"/>
    <s v="COMERCIAL"/>
    <n v="7350000"/>
    <x v="13"/>
    <s v=""/>
    <n v="7350000"/>
    <s v=""/>
    <s v=""/>
    <m/>
  </r>
  <r>
    <s v="18280"/>
    <s v="VILLAVICENCIO"/>
    <x v="4"/>
    <s v=""/>
    <s v="CENTRAL MINORISTA DE ABASTOS DE VILLAVICENCIO - CEMERCA Local A3805"/>
    <s v="0"/>
    <s v="0"/>
    <s v="COMERCIALIZABLE"/>
    <s v="COMERCIAL"/>
    <n v="7350000"/>
    <x v="13"/>
    <s v=""/>
    <n v="7350000"/>
    <s v=""/>
    <s v=""/>
    <m/>
  </r>
  <r>
    <s v="18281"/>
    <s v="VILLAVICENCIO"/>
    <x v="4"/>
    <s v=""/>
    <s v="CENTRAL MINORISTA DE ABASTOS DE VILLAVICENCIO - CEMERCA Local A3806"/>
    <s v="0"/>
    <s v="0"/>
    <s v="COMERCIALIZABLE"/>
    <s v="COMERCIAL"/>
    <n v="7350000"/>
    <x v="13"/>
    <s v=""/>
    <n v="7350000"/>
    <s v=""/>
    <s v=""/>
    <m/>
  </r>
  <r>
    <s v="18282"/>
    <s v="VILLAVICENCIO"/>
    <x v="4"/>
    <s v=""/>
    <s v="CENTRAL MINORISTA DE ABASTOS DE VILLAVICENCIO - CEMERCA Local A3807"/>
    <s v="0"/>
    <s v="0"/>
    <s v="COMERCIALIZABLE"/>
    <s v="COMERCIAL"/>
    <n v="7350000"/>
    <x v="13"/>
    <s v=""/>
    <n v="7350000"/>
    <s v=""/>
    <s v=""/>
    <m/>
  </r>
  <r>
    <s v="18283"/>
    <s v="VILLAVICENCIO"/>
    <x v="4"/>
    <s v=""/>
    <s v="CENTRAL MINORISTA DE ABASTOS DE VILLAVICENCIO - CEMERCA Local A3808"/>
    <s v="0"/>
    <s v="0"/>
    <s v="COMERCIALIZABLE"/>
    <s v="COMERCIAL"/>
    <n v="7350000"/>
    <x v="13"/>
    <s v=""/>
    <n v="7350000"/>
    <s v=""/>
    <s v=""/>
    <m/>
  </r>
  <r>
    <s v="18284"/>
    <s v="VILLAVICENCIO"/>
    <x v="4"/>
    <s v=""/>
    <s v="CENTRAL MINORISTA DE ABASTOS DE VILLAVICENCIO - CEMERCA Local A3809"/>
    <s v="0"/>
    <s v="0"/>
    <s v="COMERCIALIZABLE"/>
    <s v="COMERCIAL"/>
    <n v="7350000"/>
    <x v="13"/>
    <s v=""/>
    <n v="7350000"/>
    <s v=""/>
    <s v=""/>
    <m/>
  </r>
  <r>
    <s v="18285"/>
    <s v="VILLAVICENCIO"/>
    <x v="4"/>
    <s v=""/>
    <s v="CENTRAL MINORISTA DE ABASTOS DE VILLAVICENCIO - CEMERCA Local A3810"/>
    <s v="0"/>
    <s v="0"/>
    <s v="COMERCIALIZABLE"/>
    <s v="COMERCIAL"/>
    <n v="7350000"/>
    <x v="13"/>
    <s v=""/>
    <n v="7350000"/>
    <s v=""/>
    <s v=""/>
    <m/>
  </r>
  <r>
    <s v="18286"/>
    <s v="VILLAVICENCIO"/>
    <x v="4"/>
    <s v=""/>
    <s v="CENTRAL MINORISTA DE ABASTOS DE VILLAVICENCIO - CEMERCA Local A3817"/>
    <s v="0"/>
    <s v="0"/>
    <s v="COMERCIALIZABLE"/>
    <s v="COMERCIAL"/>
    <n v="7350000"/>
    <x v="13"/>
    <s v=""/>
    <n v="7350000"/>
    <s v=""/>
    <s v=""/>
    <m/>
  </r>
  <r>
    <s v="18287"/>
    <s v="VILLAVICENCIO"/>
    <x v="4"/>
    <s v=""/>
    <s v="CENTRAL MINORISTA DE ABASTOS DE VILLAVICENCIO - CEMERCA Local A3818"/>
    <s v="0"/>
    <s v="0"/>
    <s v="COMERCIALIZABLE"/>
    <s v="COMERCIAL"/>
    <n v="7350000"/>
    <x v="13"/>
    <s v=""/>
    <n v="7350000"/>
    <s v=""/>
    <s v=""/>
    <m/>
  </r>
  <r>
    <s v="18288"/>
    <s v="VILLAVICENCIO"/>
    <x v="4"/>
    <s v=""/>
    <s v="CENTRAL MINORISTA DE ABASTOS DE VILLAVICENCIO - CEMERCA Local A3819"/>
    <s v="0"/>
    <s v="0"/>
    <s v="COMERCIALIZABLE"/>
    <s v="COMERCIAL"/>
    <n v="7350000"/>
    <x v="13"/>
    <s v=""/>
    <n v="7350000"/>
    <s v=""/>
    <s v=""/>
    <m/>
  </r>
  <r>
    <s v="18289"/>
    <s v="VILLAVICENCIO"/>
    <x v="4"/>
    <s v=""/>
    <s v="CENTRAL MINORISTA DE ABASTOS DE VILLAVICENCIO - CEMERCA Local A3820"/>
    <s v="0"/>
    <s v="0"/>
    <s v="COMERCIALIZABLE"/>
    <s v="COMERCIAL"/>
    <n v="7350000"/>
    <x v="13"/>
    <s v=""/>
    <n v="7350000"/>
    <s v=""/>
    <s v=""/>
    <m/>
  </r>
  <r>
    <s v="18291"/>
    <s v="VILLAVICENCIO"/>
    <x v="4"/>
    <s v=""/>
    <s v="CENTRAL MINORISTA DE ABASTOS DE VILLAVICENCIO - CEMERCA Local B0102"/>
    <s v="0"/>
    <s v="0"/>
    <s v="COMERCIALIZABLE"/>
    <s v="COMERCIAL"/>
    <n v="7350000"/>
    <x v="13"/>
    <s v=""/>
    <n v="7350000"/>
    <s v=""/>
    <s v=""/>
    <m/>
  </r>
  <r>
    <s v="18292"/>
    <s v="VILLAVICENCIO"/>
    <x v="4"/>
    <s v=""/>
    <s v="CENTRAL MINORISTA DE ABASTOS DE VILLAVICENCIO - CEMERCA Local B0104"/>
    <s v="0"/>
    <s v="0"/>
    <s v="COMERCIALIZABLE"/>
    <s v="COMERCIAL"/>
    <n v="7350000"/>
    <x v="13"/>
    <s v=""/>
    <n v="7350000"/>
    <s v=""/>
    <s v=""/>
    <m/>
  </r>
  <r>
    <s v="18293"/>
    <s v="VILLAVICENCIO"/>
    <x v="4"/>
    <s v=""/>
    <s v="CENTRAL MINORISTA DE ABASTOS DE VILLAVICENCIO - CEMERCA Local B0106"/>
    <s v="0"/>
    <s v="0"/>
    <s v="COMERCIALIZABLE"/>
    <s v="COMERCIAL"/>
    <n v="7350000"/>
    <x v="13"/>
    <s v=""/>
    <n v="7350000"/>
    <s v=""/>
    <s v=""/>
    <m/>
  </r>
  <r>
    <s v="18294"/>
    <s v="VILLAVICENCIO"/>
    <x v="4"/>
    <s v=""/>
    <s v="CENTRAL MINORISTA DE ABASTOS DE VILLAVICENCIO - CEMERCA Local B0107"/>
    <s v="0"/>
    <s v="0"/>
    <s v="COMERCIALIZABLE"/>
    <s v="COMERCIAL"/>
    <n v="7350000"/>
    <x v="13"/>
    <s v=""/>
    <n v="7350000"/>
    <s v=""/>
    <s v=""/>
    <m/>
  </r>
  <r>
    <s v="18295"/>
    <s v="VILLAVICENCIO"/>
    <x v="4"/>
    <s v=""/>
    <s v="CENTRAL MINORISTA DE ABASTOS DE VILLAVICENCIO - CEMERCA Local B0108"/>
    <s v="0"/>
    <s v="0"/>
    <s v="COMERCIALIZABLE"/>
    <s v="COMERCIAL"/>
    <n v="7350000"/>
    <x v="13"/>
    <s v=""/>
    <n v="7350000"/>
    <s v=""/>
    <s v=""/>
    <m/>
  </r>
  <r>
    <s v="18296"/>
    <s v="VILLAVICENCIO"/>
    <x v="4"/>
    <s v=""/>
    <s v="CENTRAL MINORISTA DE ABASTOS DE VILLAVICENCIO - CEMERCA Local B0110"/>
    <s v="0"/>
    <s v="0"/>
    <s v="COMERCIALIZABLE"/>
    <s v="COMERCIAL"/>
    <n v="7350000"/>
    <x v="13"/>
    <s v=""/>
    <n v="7350000"/>
    <s v=""/>
    <s v=""/>
    <m/>
  </r>
  <r>
    <s v="18297"/>
    <s v="VILLAVICENCIO"/>
    <x v="4"/>
    <s v=""/>
    <s v="CENTRAL MINORISTA DE ABASTOS DE VILLAVICENCIO - CEMERCA Local B0111"/>
    <s v="0"/>
    <s v="0"/>
    <s v="COMERCIALIZABLE"/>
    <s v="COMERCIAL"/>
    <n v="7350000"/>
    <x v="13"/>
    <s v=""/>
    <n v="7350000"/>
    <s v=""/>
    <s v=""/>
    <m/>
  </r>
  <r>
    <s v="18298"/>
    <s v="VILLAVICENCIO"/>
    <x v="4"/>
    <s v=""/>
    <s v="CENTRAL MINORISTA DE ABASTOS DE VILLAVICENCIO - CEMERCA Local B0112"/>
    <s v="0"/>
    <s v="0"/>
    <s v="COMERCIALIZABLE"/>
    <s v="COMERCIAL"/>
    <n v="7350000"/>
    <x v="13"/>
    <s v=""/>
    <n v="7350000"/>
    <s v=""/>
    <s v=""/>
    <m/>
  </r>
  <r>
    <s v="18299"/>
    <s v="VILLAVICENCIO"/>
    <x v="4"/>
    <s v=""/>
    <s v="CENTRAL MINORISTA DE ABASTOS DE VILLAVICENCIO - CEMERCA Local B0113"/>
    <s v="0"/>
    <s v="0"/>
    <s v="COMERCIALIZABLE"/>
    <s v="COMERCIAL"/>
    <n v="7350000"/>
    <x v="13"/>
    <s v=""/>
    <n v="7350000"/>
    <s v=""/>
    <s v=""/>
    <m/>
  </r>
  <r>
    <s v="18300"/>
    <s v="VILLAVICENCIO"/>
    <x v="4"/>
    <s v=""/>
    <s v="CENTRAL MINORISTA DE ABASTOS DE VILLAVICENCIO - CEMERCA Local B0114"/>
    <s v="0"/>
    <s v="0"/>
    <s v="COMERCIALIZABLE"/>
    <s v="CINCO"/>
    <n v="7350000"/>
    <x v="13"/>
    <s v=""/>
    <n v="7350000"/>
    <s v=""/>
    <s v=""/>
    <m/>
  </r>
  <r>
    <s v="18305"/>
    <s v="VILLAVICENCIO"/>
    <x v="4"/>
    <s v=""/>
    <s v="CENTRAL MINORISTA DE ABASTOS DE VILLAVICENCIO - CEMERCA Local B0125"/>
    <s v="0"/>
    <s v="0"/>
    <s v="COMERCIALIZABLE"/>
    <s v="COMERCIAL"/>
    <n v="7350000"/>
    <x v="13"/>
    <s v=""/>
    <n v="7350000"/>
    <s v=""/>
    <s v=""/>
    <m/>
  </r>
  <r>
    <s v="18306"/>
    <s v="VILLAVICENCIO"/>
    <x v="4"/>
    <s v=""/>
    <s v="CENTRAL MINORISTA DE ABASTOS DE VILLAVICENCIO - CEMERCA Local B0126"/>
    <s v="0"/>
    <s v="0"/>
    <s v="COMERCIALIZABLE"/>
    <s v="COMERCIAL"/>
    <n v="7350000"/>
    <x v="13"/>
    <s v=""/>
    <n v="7350000"/>
    <s v=""/>
    <s v=""/>
    <m/>
  </r>
  <r>
    <s v="18307"/>
    <s v="VILLAVICENCIO"/>
    <x v="4"/>
    <s v=""/>
    <s v="CENTRAL MINORISTA DE ABASTOS DE VILLAVICENCIO - CEMERCA Local B0127"/>
    <s v="0"/>
    <s v="0"/>
    <s v="COMERCIALIZABLE"/>
    <s v="COMERCIAL"/>
    <n v="7350000"/>
    <x v="13"/>
    <s v=""/>
    <n v="7350000"/>
    <s v=""/>
    <s v=""/>
    <m/>
  </r>
  <r>
    <s v="18308"/>
    <s v="VILLAVICENCIO"/>
    <x v="4"/>
    <s v=""/>
    <s v="CENTRAL MINORISTA DE ABASTOS DE VILLAVICENCIO - CEMERCA Local B0129"/>
    <s v="0"/>
    <s v="0"/>
    <s v="COMERCIALIZABLE"/>
    <s v="COMERCIAL"/>
    <n v="7350000"/>
    <x v="13"/>
    <s v=""/>
    <n v="7350000"/>
    <s v=""/>
    <s v=""/>
    <m/>
  </r>
  <r>
    <s v="18309"/>
    <s v="VILLAVICENCIO"/>
    <x v="4"/>
    <s v=""/>
    <s v="CENTRAL MINORISTA DE ABASTOS DE VILLAVICENCIO - CEMERCA Local B0131"/>
    <s v="0"/>
    <s v="0"/>
    <s v="COMERCIALIZABLE"/>
    <s v="COMERCIAL"/>
    <n v="7350000"/>
    <x v="13"/>
    <s v=""/>
    <n v="7350000"/>
    <s v=""/>
    <s v=""/>
    <m/>
  </r>
  <r>
    <s v="18310"/>
    <s v="VILLAVICENCIO"/>
    <x v="4"/>
    <s v=""/>
    <s v="CENTRAL MINORISTA DE ABASTOS DE VILLAVICENCIO - CEMERCA Local B0133"/>
    <s v="0"/>
    <s v="0"/>
    <s v="EN PUJA"/>
    <s v="COMERCIAL"/>
    <n v="7350000"/>
    <x v="13"/>
    <s v=""/>
    <n v="7350000"/>
    <s v=""/>
    <s v=""/>
    <m/>
  </r>
  <r>
    <s v="18311"/>
    <s v="VILLAVICENCIO"/>
    <x v="4"/>
    <s v=""/>
    <s v="CENTRAL MINORISTA DE ABASTOS DE VILLAVICENCIO - CEMERCA Local B0202"/>
    <s v="0"/>
    <s v="0"/>
    <s v="COMERCIALIZABLE"/>
    <s v="COMERCIAL"/>
    <n v="7350000"/>
    <x v="13"/>
    <s v=""/>
    <n v="7350000"/>
    <s v=""/>
    <s v=""/>
    <m/>
  </r>
  <r>
    <s v="18312"/>
    <s v="VILLAVICENCIO"/>
    <x v="4"/>
    <s v=""/>
    <s v="CENTRAL MINORISTA DE ABASTOS DE VILLAVICENCIO - CEMERCA Local B0206"/>
    <s v="0"/>
    <s v="0"/>
    <s v="COMERCIALIZABLE"/>
    <s v="COMERCIAL"/>
    <n v="7350000"/>
    <x v="13"/>
    <s v=""/>
    <n v="7350000"/>
    <s v=""/>
    <s v=""/>
    <m/>
  </r>
  <r>
    <s v="18313"/>
    <s v="VILLAVICENCIO"/>
    <x v="4"/>
    <s v=""/>
    <s v="CENTRAL MINORISTA DE ABASTOS DE VILLAVICENCIO - CEMERCA Local B0207"/>
    <s v="0"/>
    <s v="0"/>
    <s v="COMERCIALIZABLE"/>
    <s v="COMERCIAL"/>
    <n v="7350000"/>
    <x v="13"/>
    <s v=""/>
    <n v="7350000"/>
    <s v=""/>
    <s v=""/>
    <m/>
  </r>
  <r>
    <s v="18314"/>
    <s v="VILLAVICENCIO"/>
    <x v="4"/>
    <s v=""/>
    <s v="CENTRAL MINORISTA DE ABASTOS DE VILLAVICENCIO - CEMERCA Local B0209"/>
    <s v="0"/>
    <s v="0"/>
    <s v="COMERCIALIZABLE"/>
    <s v="COMERCIAL"/>
    <n v="7350000"/>
    <x v="13"/>
    <s v=""/>
    <n v="7350000"/>
    <s v=""/>
    <s v=""/>
    <m/>
  </r>
  <r>
    <s v="18315"/>
    <s v="VILLAVICENCIO"/>
    <x v="4"/>
    <s v=""/>
    <s v="CENTRAL MINORISTA DE ABASTOS DE VILLAVICENCIO - CEMERCA Local B0211"/>
    <s v="0"/>
    <s v="0"/>
    <s v="COMERCIALIZABLE"/>
    <s v="COMERCIAL"/>
    <n v="7350000"/>
    <x v="13"/>
    <s v=""/>
    <n v="7350000"/>
    <s v=""/>
    <s v=""/>
    <m/>
  </r>
  <r>
    <s v="18316"/>
    <s v="VILLAVICENCIO"/>
    <x v="4"/>
    <s v=""/>
    <s v="CENTRAL MINORISTA DE ABASTOS DE VILLAVICENCIO - CEMERCA Local B0213"/>
    <s v="0"/>
    <s v="0"/>
    <s v="COMERCIALIZABLE"/>
    <s v="COMERCIAL"/>
    <n v="7350000"/>
    <x v="13"/>
    <s v=""/>
    <n v="7350000"/>
    <s v=""/>
    <s v=""/>
    <m/>
  </r>
  <r>
    <s v="18317"/>
    <s v="VILLAVICENCIO"/>
    <x v="4"/>
    <s v=""/>
    <s v="CENTRAL MINORISTA DE ABASTOS DE VILLAVICENCIO - CEMERCA Local B0219"/>
    <s v="0"/>
    <s v="0"/>
    <s v="COMERCIALIZABLE"/>
    <s v="COMERCIAL"/>
    <n v="7350000"/>
    <x v="13"/>
    <s v=""/>
    <n v="7350000"/>
    <s v=""/>
    <s v=""/>
    <m/>
  </r>
  <r>
    <s v="18318"/>
    <s v="VILLAVICENCIO"/>
    <x v="4"/>
    <s v=""/>
    <s v="CENTRAL MINORISTA DE ABASTOS DE VILLAVICENCIO - CEMERCA Local B0228"/>
    <s v="0"/>
    <s v="0"/>
    <s v="COMERCIALIZABLE"/>
    <s v="COMERCIAL"/>
    <n v="7350000"/>
    <x v="13"/>
    <s v=""/>
    <n v="7350000"/>
    <s v=""/>
    <s v=""/>
    <m/>
  </r>
  <r>
    <s v="18320"/>
    <s v="VILLAVICENCIO"/>
    <x v="4"/>
    <s v=""/>
    <s v="CENTRAL MINORISTA DE ABASTOS DE VILLAVICENCIO - CEMERCA Local B0303"/>
    <s v="0"/>
    <s v="0"/>
    <s v="COMERCIALIZABLE"/>
    <s v="COMERCIAL"/>
    <n v="7350000"/>
    <x v="13"/>
    <s v=""/>
    <n v="7350000"/>
    <s v=""/>
    <s v=""/>
    <m/>
  </r>
  <r>
    <s v="18321"/>
    <s v="VILLAVICENCIO"/>
    <x v="4"/>
    <s v=""/>
    <s v="CENTRAL MINORISTA DE ABASTOS DE VILLAVICENCIO - CEMERCA Local B0306"/>
    <s v="0"/>
    <s v="0"/>
    <s v="COMERCIALIZABLE"/>
    <s v="COMERCIAL"/>
    <n v="7350000"/>
    <x v="13"/>
    <s v=""/>
    <n v="7350000"/>
    <s v=""/>
    <s v=""/>
    <m/>
  </r>
  <r>
    <s v="18322"/>
    <s v="VILLAVICENCIO"/>
    <x v="4"/>
    <s v=""/>
    <s v="CENTRAL MINORISTA DE ABASTOS DE VILLAVICENCIO - CEMERCA Local B0309"/>
    <s v="0"/>
    <s v="0"/>
    <s v="COMERCIALIZABLE"/>
    <s v="COMERCIAL"/>
    <n v="7350000"/>
    <x v="13"/>
    <s v=""/>
    <n v="7350000"/>
    <s v=""/>
    <s v=""/>
    <m/>
  </r>
  <r>
    <s v="18323"/>
    <s v="VILLAVICENCIO"/>
    <x v="4"/>
    <s v=""/>
    <s v="CENTRAL MINORISTA DE ABASTOS DE VILLAVICENCIO - CEMERCA Local B0310"/>
    <s v="0"/>
    <s v="0"/>
    <s v="COMERCIALIZABLE"/>
    <s v="COMERCIAL"/>
    <n v="7350000"/>
    <x v="13"/>
    <s v=""/>
    <n v="7350000"/>
    <s v=""/>
    <s v=""/>
    <m/>
  </r>
  <r>
    <s v="18324"/>
    <s v="VILLAVICENCIO"/>
    <x v="4"/>
    <s v=""/>
    <s v="CENTRAL MINORISTA DE ABASTOS DE VILLAVICENCIO - CEMERCA Local B0312"/>
    <s v="0"/>
    <s v="0"/>
    <s v="COMERCIALIZABLE"/>
    <s v="COMERCIAL"/>
    <n v="7350000"/>
    <x v="13"/>
    <s v=""/>
    <n v="7350000"/>
    <s v=""/>
    <s v=""/>
    <m/>
  </r>
  <r>
    <s v="18325"/>
    <s v="VILLAVICENCIO"/>
    <x v="4"/>
    <s v=""/>
    <s v="CENTRAL MINORISTA DE ABASTOS DE VILLAVICENCIO - CEMERCA Local B0314"/>
    <s v="0"/>
    <s v="0"/>
    <s v="COMERCIALIZABLE"/>
    <s v="COMERCIAL"/>
    <n v="7350000"/>
    <x v="13"/>
    <s v=""/>
    <n v="7350000"/>
    <s v=""/>
    <s v=""/>
    <m/>
  </r>
  <r>
    <s v="18326"/>
    <s v="VILLAVICENCIO"/>
    <x v="4"/>
    <s v=""/>
    <s v="CENTRAL MINORISTA DE ABASTOS DE VILLAVICENCIO - CEMERCA Local B0315"/>
    <s v="0"/>
    <s v="0"/>
    <s v="COMERCIALIZABLE"/>
    <s v="COMERCIAL"/>
    <n v="7350000"/>
    <x v="13"/>
    <s v=""/>
    <n v="7350000"/>
    <s v=""/>
    <s v=""/>
    <m/>
  </r>
  <r>
    <s v="18327"/>
    <s v="VILLAVICENCIO"/>
    <x v="4"/>
    <s v=""/>
    <s v="CENTRAL MINORISTA DE ABASTOS DE VILLAVICENCIO - CEMERCA Local B0321"/>
    <s v="0"/>
    <s v="0"/>
    <s v="COMERCIALIZABLE"/>
    <s v="COMERCIAL"/>
    <n v="7350000"/>
    <x v="13"/>
    <s v=""/>
    <n v="7350000"/>
    <s v=""/>
    <s v=""/>
    <m/>
  </r>
  <r>
    <s v="18328"/>
    <s v="VILLAVICENCIO"/>
    <x v="4"/>
    <s v=""/>
    <s v="CENTRAL MINORISTA DE ABASTOS DE VILLAVICENCIO - CEMERCA Local B0322"/>
    <s v="0"/>
    <s v="0"/>
    <s v="COMERCIALIZABLE"/>
    <s v="COMERCIAL"/>
    <n v="7350000"/>
    <x v="13"/>
    <s v=""/>
    <n v="7350000"/>
    <s v=""/>
    <s v=""/>
    <m/>
  </r>
  <r>
    <s v="18329"/>
    <s v="VILLAVICENCIO"/>
    <x v="4"/>
    <s v=""/>
    <s v="CENTRAL MINORISTA DE ABASTOS DE VILLAVICENCIO - CEMERCA Local B0323"/>
    <s v="0"/>
    <s v="0"/>
    <s v="COMERCIALIZABLE"/>
    <s v="COMERCIAL"/>
    <n v="7350000"/>
    <x v="13"/>
    <s v=""/>
    <n v="7350000"/>
    <s v=""/>
    <s v=""/>
    <m/>
  </r>
  <r>
    <s v="18330"/>
    <s v="VILLAVICENCIO"/>
    <x v="4"/>
    <s v=""/>
    <s v="CENTRAL MINORISTA DE ABASTOS DE VILLAVICENCIO - CEMERCA Local B0324"/>
    <s v="0"/>
    <s v="0"/>
    <s v="COMERCIALIZABLE"/>
    <s v="COMERCIAL"/>
    <n v="7350000"/>
    <x v="13"/>
    <s v=""/>
    <n v="7350000"/>
    <s v=""/>
    <s v=""/>
    <m/>
  </r>
  <r>
    <s v="18331"/>
    <s v="VILLAVICENCIO"/>
    <x v="4"/>
    <s v=""/>
    <s v="CENTRAL MINORISTA DE ABASTOS DE VILLAVICENCIO - CEMERCA Local B0327"/>
    <s v="0"/>
    <s v="0"/>
    <s v="COMERCIALIZABLE"/>
    <s v="COMERCIAL"/>
    <n v="7350000"/>
    <x v="13"/>
    <s v=""/>
    <n v="7350000"/>
    <s v=""/>
    <s v=""/>
    <m/>
  </r>
  <r>
    <s v="18332"/>
    <s v="VILLAVICENCIO"/>
    <x v="4"/>
    <s v=""/>
    <s v="CENTRAL MINORISTA DE ABASTOS DE VILLAVICENCIO - CEMERCA Local B0329"/>
    <s v="0"/>
    <s v="0"/>
    <s v="COMERCIALIZABLE"/>
    <s v="COMERCIAL"/>
    <n v="7350000"/>
    <x v="13"/>
    <s v=""/>
    <n v="7350000"/>
    <s v=""/>
    <s v=""/>
    <m/>
  </r>
  <r>
    <s v="18333"/>
    <s v="VILLAVICENCIO"/>
    <x v="4"/>
    <s v=""/>
    <s v="CENTRAL MINORISTA DE ABASTOS DE VILLAVICENCIO - CEMERCA Local B0330"/>
    <s v="0"/>
    <s v="0"/>
    <s v="COMERCIALIZABLE"/>
    <s v="COMERCIAL"/>
    <n v="7350000"/>
    <x v="13"/>
    <s v=""/>
    <n v="7350000"/>
    <s v=""/>
    <s v=""/>
    <m/>
  </r>
  <r>
    <s v="18334"/>
    <s v="VILLAVICENCIO"/>
    <x v="4"/>
    <s v=""/>
    <s v="CENTRAL MINORISTA DE ABASTOS DE VILLAVICENCIO - CEMERCA Local B0331"/>
    <s v="0"/>
    <s v="0"/>
    <s v="COMERCIALIZABLE"/>
    <s v="COMERCIAL"/>
    <n v="7350000"/>
    <x v="13"/>
    <s v=""/>
    <n v="7350000"/>
    <s v=""/>
    <s v=""/>
    <m/>
  </r>
  <r>
    <s v="18335"/>
    <s v="VILLAVICENCIO"/>
    <x v="4"/>
    <s v=""/>
    <s v="CENTRAL MINORISTA DE ABASTOS DE VILLAVICENCIO - CEMERCA Local B0333"/>
    <s v="0"/>
    <s v="0"/>
    <s v="COMERCIALIZABLE"/>
    <s v="COMERCIAL"/>
    <n v="7350000"/>
    <x v="13"/>
    <s v=""/>
    <n v="7350000"/>
    <s v=""/>
    <s v=""/>
    <m/>
  </r>
  <r>
    <s v="19140"/>
    <s v="CALI"/>
    <x v="0"/>
    <s v=""/>
    <s v="Calle 52W No, 5A-92 AG 13 Depósito 38 Centro Comercial Santiago"/>
    <s v="0"/>
    <s v="0"/>
    <s v="COMERCIALIZABLE TERCEROS"/>
    <s v="CUATRO"/>
    <n v="7152000"/>
    <x v="17"/>
    <s v="¡OPORTUNIDAD PARA INVERTIR! DEPOSITO, UBICADO EN EL NORTE DE CALI CON CERCANIA A PUNTOS INTERES COMO LA TERMINAL DE TRANSPORTES, COLEGIO HISPANOAMERICANO, EL VIVERO MUNICIPAL, EL MONUMENTO A LA SOLIDARIDAD, CLUB COLOMBIA Y PARQUE VERSALLES,"/>
    <n v="7152000"/>
    <s v=""/>
    <s v=""/>
    <m/>
  </r>
  <r>
    <s v="18842"/>
    <s v="CARTAGENA"/>
    <x v="8"/>
    <s v=""/>
    <s v="KILÓMETRO 4  DE LA VÍA MAMONAL  CARRERA 56, #60D-240, #60D-170, BODEGA 5A BARRIO ARROZ BARATO SECTOR PUERTA DE HIERRO"/>
    <s v="0"/>
    <s v="0"/>
    <s v="COMERCIALIZABLE CON RESTRICCION"/>
    <s v="DOS"/>
    <n v="377434000"/>
    <x v="5"/>
    <s v="ESTE PORCENTAJE DE PROPIEDAD SE VENDE JUNTO CON OTROS 14 QUE CORRESPONDEN A BODEGAS UBICADAS EN LA  MISMA ZONA, POR UN PRECIO MINIMO DE VENTA DE $280,772,600,"/>
    <n v="377434000"/>
    <s v=""/>
    <s v=""/>
    <m/>
  </r>
  <r>
    <s v="18137"/>
    <s v="VILLAVICENCIO"/>
    <x v="4"/>
    <s v=""/>
    <s v="CENTRAL MINORISTA DE ABASTOS DE VILLAVICENCIO - CEMERCA Local A1910"/>
    <s v="0"/>
    <s v="0"/>
    <s v="COMERCIALIZABLE"/>
    <s v="COMERCIAL"/>
    <n v="6884500"/>
    <x v="13"/>
    <s v=""/>
    <n v="6884500"/>
    <s v=""/>
    <s v=""/>
    <m/>
  </r>
  <r>
    <s v="18447"/>
    <s v="VILLAVICENCIO"/>
    <x v="4"/>
    <s v=""/>
    <s v="CENTRAL MINORISTA DE ABASTOS DE VILLAVICENCIO - CEMERCA Local G0705"/>
    <s v="0"/>
    <s v="0"/>
    <s v="COMERCIALIZABLE"/>
    <s v="COMERCIAL"/>
    <n v="6835500"/>
    <x v="13"/>
    <s v=""/>
    <n v="6835500"/>
    <s v=""/>
    <s v=""/>
    <m/>
  </r>
  <r>
    <s v="17336"/>
    <s v="PEREIRA"/>
    <x v="6"/>
    <s v="AV 30 DE AGOSTO"/>
    <s v="CL 69  Ó ACCESO A CUBA  AV 30 DE AGOSTO  LOTE 13"/>
    <s v="0"/>
    <s v="0"/>
    <s v="COMERCIALIZABLE CON RESTRICCION"/>
    <s v="DOS"/>
    <n v="6832720"/>
    <x v="1"/>
    <s v=""/>
    <n v="6832720"/>
    <s v=""/>
    <s v=""/>
    <m/>
  </r>
  <r>
    <s v="17337"/>
    <s v="PEREIRA"/>
    <x v="6"/>
    <s v="AV 30 DE AGOSTO"/>
    <s v="CL 69  O ACCESO A CUBA  AV 30 DE AGOSTO  LOTE 13 A"/>
    <s v="0"/>
    <s v="0"/>
    <s v="COMERCIALIZABLE CON RESTRICCION"/>
    <s v="DOS"/>
    <n v="6333900"/>
    <x v="1"/>
    <s v=""/>
    <n v="6333900"/>
    <s v=""/>
    <s v=""/>
    <m/>
  </r>
  <r>
    <s v="17009"/>
    <s v="VALENCIA"/>
    <x v="9"/>
    <s v=""/>
    <s v="CALLE PRINCIPAL - CORREGIMIENTO GUADUAL"/>
    <s v="0"/>
    <s v="0"/>
    <s v="COMERCIALIZABLE"/>
    <s v="RURAL"/>
    <n v="4650000"/>
    <x v="18"/>
    <s v="LOTE RURAL DE USO AGRICOLA LOCALIZADO DEN LA VEREDA GUADUAL ALTO DEL MUNICIPIO DE VALENCIA CON UN ÁREA APROXIMADA DE 10,00 M2"/>
    <n v="4650000"/>
    <s v=""/>
    <s v=""/>
    <m/>
  </r>
  <r>
    <s v="16752"/>
    <s v="PEREIRA"/>
    <x v="6"/>
    <s v=""/>
    <s v="CALLE 4  15  20 LOTE"/>
    <s v="0"/>
    <s v="0"/>
    <s v="COMERCIALIZABLE"/>
    <s v="CUATRO"/>
    <n v="2825208626"/>
    <x v="1"/>
    <s v=""/>
    <n v="2825208626"/>
    <s v=""/>
    <s v=""/>
    <m/>
  </r>
  <r>
    <s v="16909"/>
    <s v="MARSELLA"/>
    <x v="6"/>
    <s v=""/>
    <s v="Local No 15 Sector Terminal de Transportes"/>
    <s v="0"/>
    <s v="0"/>
    <s v="COMERCIALIZABLE CON RESTRICCION"/>
    <s v="DOS"/>
    <n v="24000000"/>
    <x v="13"/>
    <s v="GRAN OPORTUNIDAD DE INVERSIÓN LOCAL NO 15 SECTOR TERMINAL DE TRANSPORTES DONDE SE ARTICULAN ACTIVIDADES COMERCIALES, CENTROS COMERCIALES, TIENDAS, EXCELENTES PERSPECTIVAS DE VALORIZACIÓN, MUY BUENAS VÍAS DE ACCESO,"/>
    <n v="24000000"/>
    <s v=""/>
    <s v=""/>
    <m/>
  </r>
  <r>
    <s v="12709"/>
    <s v="CALI"/>
    <x v="0"/>
    <s v="PRADOS DEL NORTE"/>
    <s v="CL 30N #  2B-38 LOCAL 562  CENTRO COMERCIAL SANTIAGO"/>
    <s v="0"/>
    <s v="0"/>
    <s v="COMERCIALIZABLE CON RESTRICCION"/>
    <s v="CUATRO"/>
    <n v="2960533862"/>
    <x v="13"/>
    <s v="¡OPORTUNIDAD PARA INVERTIR! LOCAL EN PROINDIVISO, UBICADO EN EL NORTE DE CALI CON CERCANIA A PUNTOS INTERES COMO LA TERMINAL DE TRANSPORTES, COLEGIO HISPANOAMERICANO, EL VIVERO MUNICIPAL, EL MONUMENTO A LA SOLIDARIDAD, CLUB COLOMBIA Y PARQUE VERSALLE"/>
    <n v="2960533862"/>
    <s v=""/>
    <s v=""/>
    <m/>
  </r>
  <r>
    <s v="17992"/>
    <s v="BOGOTA"/>
    <x v="1"/>
    <s v=""/>
    <s v="CR 70 NO, 49-77"/>
    <s v="0"/>
    <s v="0"/>
    <s v="COMERCIALIZABLE CON RESTRICCION"/>
    <s v="CUATRO"/>
    <n v="1448241600"/>
    <x v="12"/>
    <s v=""/>
    <n v="1448241600"/>
    <s v=""/>
    <s v=""/>
    <m/>
  </r>
  <r>
    <s v="12708"/>
    <s v="CALI"/>
    <x v="0"/>
    <s v="PRADOS DEL NORTE"/>
    <s v="CL 30N #  2B-38 LOCAL 564 CENTRO COMERCIAL SANTIAGO"/>
    <s v="0"/>
    <s v="0"/>
    <s v="COMERCIALIZABLE CON RESTRICCION"/>
    <s v="CUATRO"/>
    <n v="2070133703"/>
    <x v="13"/>
    <s v="¡OPORTUNIDAD PARA INVERTIR! LOCAL EN PROINDIVISO, UBICADO EN EL NORTE DE CALI CON CERCANIA A PUNTOS INTERES COMO LA TERMINAL DE TRANSPORTES, COLEGIO HISPANOAMERICANO, EL VIVERO MUNICIPAL, EL MONUMENTO A LA SOLIDARIDAD, CLUB COLOMBIA Y PARQUE VERSALLE"/>
    <n v="2070133703"/>
    <s v=""/>
    <s v=""/>
    <m/>
  </r>
  <r>
    <s v="12706"/>
    <s v="CALI"/>
    <x v="0"/>
    <s v="PRADOS DEL NORTE"/>
    <s v="CL 30N #  2B-38 LOCAL 367 CENTRO COMERCIAL SANTIAGO"/>
    <s v="0"/>
    <s v="0"/>
    <s v="COMERCIALIZABLE CON RESTRICCION"/>
    <s v="CUATRO"/>
    <n v="2060800368"/>
    <x v="13"/>
    <s v="¡OPORTUNIDAD PARA INVERTIR! LOCAL EN PROINDIVISO, UBICADO EN EL NORTE DE CALI CON CERCANIA A PUNTOS INTERES COMO LA TERMINAL DE TRANSPORTES, COLEGIO HISPANOAMERICANO, EL VIVERO MUNICIPAL, EL MONUMENTO A LA SOLIDARIDAD, CLUB COLOMBIA Y PARQUE VERSALLE"/>
    <n v="2060800368"/>
    <s v=""/>
    <s v=""/>
    <m/>
  </r>
  <r>
    <s v="12707"/>
    <s v="CALI"/>
    <x v="0"/>
    <s v="PRADOS DEL NORTE"/>
    <s v="CL 30N #  2B-38 LOCAL 370 CENTRO COMERCIAL SANTIAGO"/>
    <s v="0"/>
    <s v="0"/>
    <s v="COMERCIALIZABLE CON RESTRICCION"/>
    <s v="CUATRO"/>
    <n v="2060800368"/>
    <x v="13"/>
    <s v="¡OPORTUNIDAD PARA INVERTIR! LOCAL EN PROINDIVISO, UBICADO EN EL NORTE DE CALI CON CERCANIA A PUNTOS INTERES COMO LA TERMINAL DE TRANSPORTES, COLEGIO HISPANOAMERICANO, EL VIVERO MUNICIPAL, EL MONUMENTO A LA SOLIDARIDAD, CLUB COLOMBIA Y PARQUE VERSALLE"/>
    <n v="2060800368"/>
    <s v=""/>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3E641C-BB7B-4D55-ADAC-87F28BA758F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6">
    <pivotField showAll="0"/>
    <pivotField showAll="0"/>
    <pivotField axis="axisPage" showAll="0">
      <items count="15">
        <item x="5"/>
        <item x="11"/>
        <item x="8"/>
        <item x="3"/>
        <item x="10"/>
        <item x="2"/>
        <item x="13"/>
        <item x="9"/>
        <item x="1"/>
        <item x="4"/>
        <item x="12"/>
        <item x="6"/>
        <item x="7"/>
        <item x="0"/>
        <item t="default"/>
      </items>
    </pivotField>
    <pivotField showAll="0"/>
    <pivotField showAll="0"/>
    <pivotField showAll="0"/>
    <pivotField showAll="0"/>
    <pivotField showAll="0"/>
    <pivotField showAll="0"/>
    <pivotField showAll="0"/>
    <pivotField axis="axisRow" dataField="1" showAll="0">
      <items count="20">
        <item x="10"/>
        <item x="5"/>
        <item x="12"/>
        <item x="6"/>
        <item x="17"/>
        <item x="8"/>
        <item x="11"/>
        <item x="3"/>
        <item x="16"/>
        <item x="4"/>
        <item x="13"/>
        <item x="14"/>
        <item x="18"/>
        <item x="7"/>
        <item x="9"/>
        <item x="2"/>
        <item x="0"/>
        <item x="1"/>
        <item x="15"/>
        <item t="default"/>
      </items>
    </pivotField>
    <pivotField showAll="0"/>
    <pivotField numFmtId="44" showAll="0"/>
    <pivotField showAll="0"/>
    <pivotField showAll="0"/>
    <pivotField showAll="0"/>
  </pivotFields>
  <rowFields count="1">
    <field x="10"/>
  </rowFields>
  <rowItems count="5">
    <i>
      <x v="2"/>
    </i>
    <i>
      <x v="10"/>
    </i>
    <i>
      <x v="14"/>
    </i>
    <i>
      <x v="17"/>
    </i>
    <i t="grand">
      <x/>
    </i>
  </rowItems>
  <colItems count="1">
    <i/>
  </colItems>
  <pageFields count="1">
    <pageField fld="2" item="9" hier="-1"/>
  </pageFields>
  <dataFields count="1">
    <dataField name="Count of Tipo de Inmuebl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7083E5-7039-430F-A148-F86610116024}" autoFormatId="16" applyNumberFormats="0" applyBorderFormats="0" applyFontFormats="0" applyPatternFormats="0" applyAlignmentFormats="0" applyWidthHeightFormats="0">
  <queryTableRefresh nextId="17" unboundColumnsRight="4">
    <queryTableFields count="16">
      <queryTableField id="1" name="Codigo" tableColumnId="1"/>
      <queryTableField id="2" name="Ciudad" tableColumnId="2"/>
      <queryTableField id="3" name="Departamento" tableColumnId="3"/>
      <queryTableField id="4" name="Barrio" tableColumnId="4"/>
      <queryTableField id="5" name="Direccion" tableColumnId="5"/>
      <queryTableField id="6" name="Area Terreno" tableColumnId="6"/>
      <queryTableField id="7" name="Area Construida" tableColumnId="7"/>
      <queryTableField id="8" name="Detalle Disponibilidad" tableColumnId="8"/>
      <queryTableField id="9" name="Estrato" tableColumnId="9"/>
      <queryTableField id="10" name="Precio" tableColumnId="10"/>
      <queryTableField id="11" name="Tipo de Inmueble" tableColumnId="11"/>
      <queryTableField id="12" name="Datos Adicionales" tableColumnId="12"/>
      <queryTableField id="13" dataBound="0" tableColumnId="13"/>
      <queryTableField id="14" dataBound="0" tableColumnId="14"/>
      <queryTableField id="15" dataBound="0" tableColumnId="15"/>
      <queryTableField id="16" dataBound="0"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8AD361-D94D-4256-ABD5-43FF83CC4071}" name="Data_Caso_Propuesto" displayName="Data_Caso_Propuesto" ref="A1:P464" tableType="queryTable" totalsRowShown="0">
  <autoFilter ref="A1:P464" xr:uid="{948AD361-D94D-4256-ABD5-43FF83CC4071}"/>
  <tableColumns count="16">
    <tableColumn id="1" xr3:uid="{F5F98358-CB6E-4454-91DC-C6BE5F3D8939}" uniqueName="1" name="Codigo" queryTableFieldId="1" dataDxfId="14"/>
    <tableColumn id="2" xr3:uid="{373F70DB-3776-4326-AA65-7A33CAA1C49C}" uniqueName="2" name="Ciudad" queryTableFieldId="2" dataDxfId="13"/>
    <tableColumn id="3" xr3:uid="{BD5F99EB-690A-40EE-ACA5-106BCD250C2B}" uniqueName="3" name="Departamento" queryTableFieldId="3" dataDxfId="12"/>
    <tableColumn id="4" xr3:uid="{3537E9A9-F595-4922-B258-661A5AA86FF2}" uniqueName="4" name="Barrio" queryTableFieldId="4" dataDxfId="11"/>
    <tableColumn id="5" xr3:uid="{56E7073F-4ACF-4A70-90C2-DDC07C29EDB3}" uniqueName="5" name="Direccion" queryTableFieldId="5" dataDxfId="10"/>
    <tableColumn id="6" xr3:uid="{6C89FCA7-2EC1-42E3-A9ED-672B23FB1C37}" uniqueName="6" name="Area Terreno" queryTableFieldId="6" dataDxfId="9"/>
    <tableColumn id="7" xr3:uid="{A4A1A45E-A62D-4875-AA70-B251BE434F94}" uniqueName="7" name="Area Construida" queryTableFieldId="7" dataDxfId="8"/>
    <tableColumn id="8" xr3:uid="{002CBD42-4ACF-43F1-A824-FA0EF8C0EF87}" uniqueName="8" name="Detalle Disponibilidad" queryTableFieldId="8" dataDxfId="7"/>
    <tableColumn id="9" xr3:uid="{22C7EB54-420E-401B-9734-543D6675A5C0}" uniqueName="9" name="Estrato" queryTableFieldId="9" dataDxfId="6"/>
    <tableColumn id="10" xr3:uid="{48FA04AB-A638-425C-8839-112374BE738D}" uniqueName="10" name="Precio" queryTableFieldId="10"/>
    <tableColumn id="11" xr3:uid="{F284F319-97F6-4435-818E-99525E4D8F53}" uniqueName="11" name="Tipo de Inmueble" queryTableFieldId="11" dataDxfId="5"/>
    <tableColumn id="12" xr3:uid="{E87509D7-6922-4903-BF18-8165F10DB4E4}" uniqueName="12" name="Datos Adicionales" queryTableFieldId="12" dataDxfId="4"/>
    <tableColumn id="13" xr3:uid="{1C578CF3-4D30-4682-9E8E-572FF6C64850}" uniqueName="13" name="Precio Mil Millones" queryTableFieldId="13" dataDxfId="3">
      <calculatedColumnFormula>Data_Caso_Propuesto[[#This Row],[Precio]]</calculatedColumnFormula>
    </tableColumn>
    <tableColumn id="14" xr3:uid="{51BD3A94-9D1D-47A1-95F4-BF4710EDE57D}" uniqueName="14" name="Precio m2 Terreno" queryTableFieldId="14" dataDxfId="2">
      <calculatedColumnFormula>IFERROR(Data_Caso_Propuesto[[#This Row],[Precio]]/Data_Caso_Propuesto[[#This Row],[Area Terreno]],"")</calculatedColumnFormula>
    </tableColumn>
    <tableColumn id="15" xr3:uid="{2E24FDFC-5186-4236-B647-29EAD7264E8E}" uniqueName="15" name="Precio m2 Terreno Millones" queryTableFieldId="15" dataDxfId="1">
      <calculatedColumnFormula>IFERROR((Data_Caso_Propuesto[[#This Row],[Precio]]/Data_Caso_Propuesto[[#This Row],[Area Terreno]])/1000000,"")</calculatedColumnFormula>
    </tableColumn>
    <tableColumn id="16" xr3:uid="{9D219430-EB5A-4C3D-834B-0FC47D4A0B8B}" uniqueName="16" name="Precio m2 Terreno Mil Millones" queryTableFieldId="1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070B3-26AA-4D01-8C5C-6980BA6026C3}">
  <dimension ref="A1:B8"/>
  <sheetViews>
    <sheetView workbookViewId="0">
      <selection activeCell="A3" sqref="A3"/>
    </sheetView>
  </sheetViews>
  <sheetFormatPr defaultRowHeight="15" x14ac:dyDescent="0.25"/>
  <cols>
    <col min="1" max="1" width="24.7109375" bestFit="1" customWidth="1"/>
    <col min="2" max="2" width="25.28515625" bestFit="1" customWidth="1"/>
    <col min="3" max="3" width="8.7109375" bestFit="1" customWidth="1"/>
    <col min="4" max="4" width="5.85546875" bestFit="1" customWidth="1"/>
    <col min="5" max="5" width="8.5703125" bestFit="1" customWidth="1"/>
    <col min="6" max="6" width="10.28515625" bestFit="1" customWidth="1"/>
    <col min="8" max="8" width="18.5703125" bestFit="1" customWidth="1"/>
    <col min="9" max="9" width="6.5703125" bestFit="1" customWidth="1"/>
    <col min="10" max="10" width="7.85546875" bestFit="1" customWidth="1"/>
    <col min="11" max="12" width="7" bestFit="1" customWidth="1"/>
    <col min="13" max="13" width="5.5703125" bestFit="1" customWidth="1"/>
    <col min="14" max="14" width="15.5703125" bestFit="1" customWidth="1"/>
    <col min="15" max="15" width="17.28515625" bestFit="1" customWidth="1"/>
    <col min="16" max="16" width="26.5703125" bestFit="1" customWidth="1"/>
    <col min="17" max="17" width="17" bestFit="1" customWidth="1"/>
    <col min="18" max="18" width="11.7109375" bestFit="1" customWidth="1"/>
    <col min="19" max="19" width="14.7109375" bestFit="1" customWidth="1"/>
    <col min="20" max="20" width="8.5703125" bestFit="1" customWidth="1"/>
    <col min="21" max="21" width="11.28515625" bestFit="1" customWidth="1"/>
  </cols>
  <sheetData>
    <row r="1" spans="1:2" x14ac:dyDescent="0.25">
      <c r="A1" s="5" t="s">
        <v>2</v>
      </c>
      <c r="B1" t="s">
        <v>45</v>
      </c>
    </row>
    <row r="3" spans="1:2" x14ac:dyDescent="0.25">
      <c r="A3" s="5" t="s">
        <v>1103</v>
      </c>
      <c r="B3" t="s">
        <v>1105</v>
      </c>
    </row>
    <row r="4" spans="1:2" x14ac:dyDescent="0.25">
      <c r="A4" s="6" t="s">
        <v>94</v>
      </c>
      <c r="B4" s="7">
        <v>2</v>
      </c>
    </row>
    <row r="5" spans="1:2" x14ac:dyDescent="0.25">
      <c r="A5" s="6" t="s">
        <v>102</v>
      </c>
      <c r="B5" s="7">
        <v>288</v>
      </c>
    </row>
    <row r="6" spans="1:2" x14ac:dyDescent="0.25">
      <c r="A6" s="6" t="s">
        <v>46</v>
      </c>
      <c r="B6" s="7">
        <v>1</v>
      </c>
    </row>
    <row r="7" spans="1:2" x14ac:dyDescent="0.25">
      <c r="A7" s="6" t="s">
        <v>68</v>
      </c>
      <c r="B7" s="7">
        <v>1</v>
      </c>
    </row>
    <row r="8" spans="1:2" x14ac:dyDescent="0.25">
      <c r="A8" s="6" t="s">
        <v>1104</v>
      </c>
      <c r="B8" s="7">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205CF-11D6-46C8-8507-6D24F5A1225C}">
  <dimension ref="A1:S464"/>
  <sheetViews>
    <sheetView tabSelected="1" topLeftCell="B1" workbookViewId="0">
      <selection activeCell="I55" sqref="I55"/>
    </sheetView>
  </sheetViews>
  <sheetFormatPr defaultRowHeight="15" x14ac:dyDescent="0.25"/>
  <cols>
    <col min="1" max="1" width="9.7109375" bestFit="1" customWidth="1"/>
    <col min="2" max="2" width="24.85546875" bestFit="1" customWidth="1"/>
    <col min="3" max="3" width="16.42578125" bestFit="1" customWidth="1"/>
    <col min="4" max="4" width="33.140625" bestFit="1" customWidth="1"/>
    <col min="5" max="5" width="81.140625" bestFit="1" customWidth="1"/>
    <col min="6" max="6" width="14.7109375" bestFit="1" customWidth="1"/>
    <col min="7" max="7" width="17.85546875" bestFit="1" customWidth="1"/>
    <col min="8" max="8" width="34.7109375" bestFit="1" customWidth="1"/>
    <col min="9" max="9" width="11.28515625" bestFit="1" customWidth="1"/>
    <col min="10" max="10" width="12" bestFit="1" customWidth="1"/>
    <col min="11" max="11" width="24.7109375" bestFit="1" customWidth="1"/>
    <col min="12" max="12" width="81.140625" bestFit="1" customWidth="1"/>
    <col min="13" max="13" width="20.5703125" bestFit="1" customWidth="1"/>
    <col min="14" max="14" width="19.85546875" bestFit="1" customWidth="1"/>
    <col min="15" max="15" width="28.28515625" bestFit="1" customWidth="1"/>
    <col min="16" max="16" width="29.28515625" bestFit="1" customWidth="1"/>
    <col min="18" max="18" width="9.140625" style="1"/>
    <col min="19" max="19" width="10.42578125" bestFit="1" customWidth="1"/>
  </cols>
  <sheetData>
    <row r="1" spans="1:19" x14ac:dyDescent="0.25">
      <c r="A1" t="s">
        <v>0</v>
      </c>
      <c r="B1" t="s">
        <v>1</v>
      </c>
      <c r="C1" t="s">
        <v>2</v>
      </c>
      <c r="D1" t="s">
        <v>3</v>
      </c>
      <c r="E1" t="s">
        <v>4</v>
      </c>
      <c r="F1" t="s">
        <v>5</v>
      </c>
      <c r="G1" t="s">
        <v>6</v>
      </c>
      <c r="H1" t="s">
        <v>7</v>
      </c>
      <c r="I1" t="s">
        <v>8</v>
      </c>
      <c r="J1" t="s">
        <v>9</v>
      </c>
      <c r="K1" t="s">
        <v>10</v>
      </c>
      <c r="L1" t="s">
        <v>11</v>
      </c>
      <c r="M1" t="s">
        <v>992</v>
      </c>
      <c r="N1" t="s">
        <v>993</v>
      </c>
      <c r="O1" t="s">
        <v>994</v>
      </c>
      <c r="P1" t="s">
        <v>995</v>
      </c>
    </row>
    <row r="2" spans="1:19" x14ac:dyDescent="0.25">
      <c r="A2" t="s">
        <v>195</v>
      </c>
      <c r="B2" t="s">
        <v>143</v>
      </c>
      <c r="C2" t="s">
        <v>36</v>
      </c>
      <c r="D2" t="s">
        <v>144</v>
      </c>
      <c r="E2" t="s">
        <v>196</v>
      </c>
      <c r="F2" s="3">
        <v>2187863</v>
      </c>
      <c r="G2" s="3" t="s">
        <v>16</v>
      </c>
      <c r="H2" t="s">
        <v>40</v>
      </c>
      <c r="I2" t="s">
        <v>41</v>
      </c>
      <c r="J2">
        <v>2406650268</v>
      </c>
      <c r="K2" t="s">
        <v>42</v>
      </c>
      <c r="L2" s="4" t="s">
        <v>996</v>
      </c>
      <c r="M2" s="1">
        <f>Data_Caso_Propuesto[[#This Row],[Precio]]</f>
        <v>2406650268</v>
      </c>
      <c r="N2" s="1">
        <f>IFERROR(Data_Caso_Propuesto[[#This Row],[Precio]]/Data_Caso_Propuesto[[#This Row],[Area Terreno]],"")</f>
        <v>1100.0004424408658</v>
      </c>
      <c r="O2" s="1">
        <f>IFERROR((Data_Caso_Propuesto[[#This Row],[Precio]]/Data_Caso_Propuesto[[#This Row],[Area Terreno]])/1000000,"")</f>
        <v>1.1000004424408657E-3</v>
      </c>
      <c r="P2" s="1"/>
      <c r="R2" s="1">
        <f>Data_Caso_Propuesto[[#This Row],[Precio Mil Millones]]/1000000000</f>
        <v>2.4066502679999999</v>
      </c>
    </row>
    <row r="3" spans="1:19" x14ac:dyDescent="0.25">
      <c r="A3" t="s">
        <v>966</v>
      </c>
      <c r="B3" t="s">
        <v>80</v>
      </c>
      <c r="C3" t="s">
        <v>36</v>
      </c>
      <c r="D3" t="s">
        <v>967</v>
      </c>
      <c r="E3" t="s">
        <v>968</v>
      </c>
      <c r="F3" s="3">
        <v>430399.68</v>
      </c>
      <c r="G3" s="3" t="s">
        <v>16</v>
      </c>
      <c r="H3" t="s">
        <v>40</v>
      </c>
      <c r="I3" t="s">
        <v>41</v>
      </c>
      <c r="J3">
        <v>1667784060</v>
      </c>
      <c r="K3" t="s">
        <v>68</v>
      </c>
      <c r="L3" s="4" t="s">
        <v>997</v>
      </c>
      <c r="M3" s="1">
        <f>Data_Caso_Propuesto[[#This Row],[Precio]]</f>
        <v>1667784060</v>
      </c>
      <c r="N3" s="1">
        <f>IFERROR(Data_Caso_Propuesto[[#This Row],[Precio]]/Data_Caso_Propuesto[[#This Row],[Area Terreno]],"")</f>
        <v>3874.9658456995135</v>
      </c>
      <c r="O3" s="1">
        <f>IFERROR((Data_Caso_Propuesto[[#This Row],[Precio]]/Data_Caso_Propuesto[[#This Row],[Area Terreno]])/1000000,"")</f>
        <v>3.8749658456995136E-3</v>
      </c>
      <c r="P3" s="1"/>
      <c r="R3" s="1">
        <f>Data_Caso_Propuesto[[#This Row],[Precio Mil Millones]]/1000000000</f>
        <v>1.66778406</v>
      </c>
    </row>
    <row r="4" spans="1:19" x14ac:dyDescent="0.25">
      <c r="A4" t="s">
        <v>34</v>
      </c>
      <c r="B4" t="s">
        <v>35</v>
      </c>
      <c r="C4" t="s">
        <v>36</v>
      </c>
      <c r="D4" t="s">
        <v>37</v>
      </c>
      <c r="E4" t="s">
        <v>38</v>
      </c>
      <c r="F4" s="3">
        <v>3217197</v>
      </c>
      <c r="G4" s="3" t="s">
        <v>39</v>
      </c>
      <c r="H4" t="s">
        <v>40</v>
      </c>
      <c r="I4" t="s">
        <v>41</v>
      </c>
      <c r="J4">
        <v>45233789820</v>
      </c>
      <c r="K4" t="s">
        <v>42</v>
      </c>
      <c r="L4" t="s">
        <v>15</v>
      </c>
      <c r="M4" s="1">
        <f>Data_Caso_Propuesto[[#This Row],[Precio]]</f>
        <v>45233789820</v>
      </c>
      <c r="N4" s="1">
        <f>IFERROR(Data_Caso_Propuesto[[#This Row],[Precio]]/Data_Caso_Propuesto[[#This Row],[Area Terreno]],"")</f>
        <v>14060</v>
      </c>
      <c r="O4" s="1">
        <f>IFERROR((Data_Caso_Propuesto[[#This Row],[Precio]]/Data_Caso_Propuesto[[#This Row],[Area Terreno]])/1000000,"")</f>
        <v>1.406E-2</v>
      </c>
      <c r="P4" s="1"/>
      <c r="R4" s="1">
        <f>Data_Caso_Propuesto[[#This Row],[Precio Mil Millones]]/1000000000</f>
        <v>45.233789819999998</v>
      </c>
    </row>
    <row r="5" spans="1:19" x14ac:dyDescent="0.25">
      <c r="A5" t="s">
        <v>142</v>
      </c>
      <c r="B5" t="s">
        <v>143</v>
      </c>
      <c r="C5" t="s">
        <v>36</v>
      </c>
      <c r="D5" t="s">
        <v>144</v>
      </c>
      <c r="E5" t="s">
        <v>145</v>
      </c>
      <c r="F5" s="3">
        <v>337995</v>
      </c>
      <c r="G5" s="3" t="s">
        <v>16</v>
      </c>
      <c r="H5" t="s">
        <v>40</v>
      </c>
      <c r="I5" t="s">
        <v>41</v>
      </c>
      <c r="J5">
        <v>5171323500</v>
      </c>
      <c r="K5" t="s">
        <v>68</v>
      </c>
      <c r="L5" t="s">
        <v>998</v>
      </c>
      <c r="M5" s="1">
        <f>Data_Caso_Propuesto[[#This Row],[Precio]]</f>
        <v>5171323500</v>
      </c>
      <c r="N5" s="1">
        <f>IFERROR(Data_Caso_Propuesto[[#This Row],[Precio]]/Data_Caso_Propuesto[[#This Row],[Area Terreno]],"")</f>
        <v>15300</v>
      </c>
      <c r="O5" s="1">
        <f>IFERROR((Data_Caso_Propuesto[[#This Row],[Precio]]/Data_Caso_Propuesto[[#This Row],[Area Terreno]])/1000000,"")</f>
        <v>1.5299999999999999E-2</v>
      </c>
      <c r="P5" s="1"/>
      <c r="R5" s="1">
        <f>Data_Caso_Propuesto[[#This Row],[Precio Mil Millones]]/1000000000</f>
        <v>5.1713234999999997</v>
      </c>
    </row>
    <row r="6" spans="1:19" x14ac:dyDescent="0.25">
      <c r="A6" t="s">
        <v>181</v>
      </c>
      <c r="B6" t="s">
        <v>143</v>
      </c>
      <c r="C6" t="s">
        <v>36</v>
      </c>
      <c r="D6" t="s">
        <v>144</v>
      </c>
      <c r="E6" t="s">
        <v>182</v>
      </c>
      <c r="F6" s="3">
        <v>175982</v>
      </c>
      <c r="G6" s="3" t="s">
        <v>16</v>
      </c>
      <c r="H6" t="s">
        <v>40</v>
      </c>
      <c r="I6" t="s">
        <v>41</v>
      </c>
      <c r="J6">
        <v>2704524600</v>
      </c>
      <c r="K6" t="s">
        <v>68</v>
      </c>
      <c r="L6" s="4" t="s">
        <v>996</v>
      </c>
      <c r="M6" s="1">
        <f>Data_Caso_Propuesto[[#This Row],[Precio]]</f>
        <v>2704524600</v>
      </c>
      <c r="N6" s="1">
        <f>IFERROR(Data_Caso_Propuesto[[#This Row],[Precio]]/Data_Caso_Propuesto[[#This Row],[Area Terreno]],"")</f>
        <v>15368.188792035549</v>
      </c>
      <c r="O6" s="1">
        <f>IFERROR((Data_Caso_Propuesto[[#This Row],[Precio]]/Data_Caso_Propuesto[[#This Row],[Area Terreno]])/1000000,"")</f>
        <v>1.536818879203555E-2</v>
      </c>
      <c r="P6" s="1"/>
      <c r="R6" s="1">
        <f>Data_Caso_Propuesto[[#This Row],[Precio Mil Millones]]/1000000000</f>
        <v>2.7045246000000001</v>
      </c>
      <c r="S6" s="2"/>
    </row>
    <row r="7" spans="1:19" x14ac:dyDescent="0.25">
      <c r="A7" t="s">
        <v>222</v>
      </c>
      <c r="B7" t="s">
        <v>143</v>
      </c>
      <c r="C7" t="s">
        <v>36</v>
      </c>
      <c r="D7" t="s">
        <v>144</v>
      </c>
      <c r="E7" t="s">
        <v>223</v>
      </c>
      <c r="F7" s="3">
        <v>109627.44</v>
      </c>
      <c r="G7" s="3" t="s">
        <v>16</v>
      </c>
      <c r="H7" t="s">
        <v>40</v>
      </c>
      <c r="I7" t="s">
        <v>41</v>
      </c>
      <c r="J7">
        <v>1754039040</v>
      </c>
      <c r="K7" t="s">
        <v>68</v>
      </c>
      <c r="L7" s="4" t="s">
        <v>996</v>
      </c>
      <c r="M7" s="1">
        <f>Data_Caso_Propuesto[[#This Row],[Precio]]</f>
        <v>1754039040</v>
      </c>
      <c r="N7" s="1">
        <f>IFERROR(Data_Caso_Propuesto[[#This Row],[Precio]]/Data_Caso_Propuesto[[#This Row],[Area Terreno]],"")</f>
        <v>16000</v>
      </c>
      <c r="O7" s="1">
        <f>IFERROR((Data_Caso_Propuesto[[#This Row],[Precio]]/Data_Caso_Propuesto[[#This Row],[Area Terreno]])/1000000,"")</f>
        <v>1.6E-2</v>
      </c>
      <c r="P7" s="1"/>
    </row>
    <row r="8" spans="1:19" x14ac:dyDescent="0.25">
      <c r="A8" t="s">
        <v>971</v>
      </c>
      <c r="B8" t="s">
        <v>143</v>
      </c>
      <c r="C8" t="s">
        <v>36</v>
      </c>
      <c r="D8" t="s">
        <v>144</v>
      </c>
      <c r="E8" t="s">
        <v>972</v>
      </c>
      <c r="F8" s="3">
        <v>3073</v>
      </c>
      <c r="G8" s="3" t="s">
        <v>16</v>
      </c>
      <c r="H8" t="s">
        <v>40</v>
      </c>
      <c r="I8" t="s">
        <v>41</v>
      </c>
      <c r="J8">
        <v>49168000</v>
      </c>
      <c r="K8" t="s">
        <v>68</v>
      </c>
      <c r="L8" t="s">
        <v>999</v>
      </c>
      <c r="M8" s="1">
        <f>Data_Caso_Propuesto[[#This Row],[Precio]]</f>
        <v>49168000</v>
      </c>
      <c r="N8" s="1">
        <f>IFERROR(Data_Caso_Propuesto[[#This Row],[Precio]]/Data_Caso_Propuesto[[#This Row],[Area Terreno]],"")</f>
        <v>16000</v>
      </c>
      <c r="O8" s="1">
        <f>IFERROR((Data_Caso_Propuesto[[#This Row],[Precio]]/Data_Caso_Propuesto[[#This Row],[Area Terreno]])/1000000,"")</f>
        <v>1.6E-2</v>
      </c>
      <c r="P8" s="1"/>
    </row>
    <row r="9" spans="1:19" x14ac:dyDescent="0.25">
      <c r="A9" t="s">
        <v>249</v>
      </c>
      <c r="B9" t="s">
        <v>143</v>
      </c>
      <c r="C9" t="s">
        <v>36</v>
      </c>
      <c r="D9" t="s">
        <v>144</v>
      </c>
      <c r="E9" t="s">
        <v>250</v>
      </c>
      <c r="F9" s="3">
        <v>64000</v>
      </c>
      <c r="G9" s="3" t="s">
        <v>251</v>
      </c>
      <c r="H9" t="s">
        <v>40</v>
      </c>
      <c r="I9" t="s">
        <v>41</v>
      </c>
      <c r="J9">
        <v>1042886694</v>
      </c>
      <c r="K9" t="s">
        <v>68</v>
      </c>
      <c r="L9" t="s">
        <v>999</v>
      </c>
      <c r="M9" s="1">
        <f>Data_Caso_Propuesto[[#This Row],[Precio]]</f>
        <v>1042886694</v>
      </c>
      <c r="N9" s="1">
        <f>IFERROR(Data_Caso_Propuesto[[#This Row],[Precio]]/Data_Caso_Propuesto[[#This Row],[Area Terreno]],"")</f>
        <v>16295.10459375</v>
      </c>
      <c r="O9" s="1">
        <f>IFERROR((Data_Caso_Propuesto[[#This Row],[Precio]]/Data_Caso_Propuesto[[#This Row],[Area Terreno]])/1000000,"")</f>
        <v>1.6295104593750002E-2</v>
      </c>
      <c r="P9" s="1"/>
    </row>
    <row r="10" spans="1:19" x14ac:dyDescent="0.25">
      <c r="A10" t="s">
        <v>204</v>
      </c>
      <c r="B10" t="s">
        <v>143</v>
      </c>
      <c r="C10" t="s">
        <v>36</v>
      </c>
      <c r="D10" t="s">
        <v>144</v>
      </c>
      <c r="E10" t="s">
        <v>205</v>
      </c>
      <c r="F10" s="3">
        <v>131627</v>
      </c>
      <c r="G10" s="3" t="s">
        <v>16</v>
      </c>
      <c r="H10" t="s">
        <v>40</v>
      </c>
      <c r="I10" t="s">
        <v>41</v>
      </c>
      <c r="J10">
        <v>2237659000</v>
      </c>
      <c r="K10" t="s">
        <v>68</v>
      </c>
      <c r="L10" s="4" t="s">
        <v>996</v>
      </c>
      <c r="M10" s="1">
        <f>Data_Caso_Propuesto[[#This Row],[Precio]]</f>
        <v>2237659000</v>
      </c>
      <c r="N10" s="1">
        <f>IFERROR(Data_Caso_Propuesto[[#This Row],[Precio]]/Data_Caso_Propuesto[[#This Row],[Area Terreno]],"")</f>
        <v>17000</v>
      </c>
      <c r="O10" s="1">
        <f>IFERROR((Data_Caso_Propuesto[[#This Row],[Precio]]/Data_Caso_Propuesto[[#This Row],[Area Terreno]])/1000000,"")</f>
        <v>1.7000000000000001E-2</v>
      </c>
      <c r="P10" s="1"/>
    </row>
    <row r="11" spans="1:19" x14ac:dyDescent="0.25">
      <c r="A11" t="s">
        <v>242</v>
      </c>
      <c r="B11" t="s">
        <v>243</v>
      </c>
      <c r="C11" t="s">
        <v>14</v>
      </c>
      <c r="D11" t="s">
        <v>243</v>
      </c>
      <c r="E11" t="s">
        <v>244</v>
      </c>
      <c r="F11" s="3">
        <v>30000</v>
      </c>
      <c r="G11" s="3" t="s">
        <v>16</v>
      </c>
      <c r="H11" t="s">
        <v>17</v>
      </c>
      <c r="I11" t="s">
        <v>41</v>
      </c>
      <c r="J11">
        <v>552000000</v>
      </c>
      <c r="K11" t="s">
        <v>68</v>
      </c>
      <c r="L11" t="s">
        <v>15</v>
      </c>
      <c r="M11" s="1">
        <f>Data_Caso_Propuesto[[#This Row],[Precio]]</f>
        <v>552000000</v>
      </c>
      <c r="N11" s="1">
        <f>IFERROR(Data_Caso_Propuesto[[#This Row],[Precio]]/Data_Caso_Propuesto[[#This Row],[Area Terreno]],"")</f>
        <v>18400</v>
      </c>
      <c r="O11" s="1">
        <f>IFERROR((Data_Caso_Propuesto[[#This Row],[Precio]]/Data_Caso_Propuesto[[#This Row],[Area Terreno]])/1000000,"")</f>
        <v>1.84E-2</v>
      </c>
      <c r="P11" s="1"/>
    </row>
    <row r="12" spans="1:19" x14ac:dyDescent="0.25">
      <c r="A12" t="s">
        <v>263</v>
      </c>
      <c r="B12" t="s">
        <v>143</v>
      </c>
      <c r="C12" t="s">
        <v>36</v>
      </c>
      <c r="D12" t="s">
        <v>144</v>
      </c>
      <c r="E12" t="s">
        <v>264</v>
      </c>
      <c r="F12" s="3">
        <v>37861.33</v>
      </c>
      <c r="G12" s="3" t="s">
        <v>265</v>
      </c>
      <c r="H12" t="s">
        <v>40</v>
      </c>
      <c r="I12" t="s">
        <v>41</v>
      </c>
      <c r="J12">
        <v>810975010</v>
      </c>
      <c r="K12" t="s">
        <v>68</v>
      </c>
      <c r="L12" t="s">
        <v>999</v>
      </c>
      <c r="M12" s="1">
        <f>Data_Caso_Propuesto[[#This Row],[Precio]]</f>
        <v>810975010</v>
      </c>
      <c r="N12" s="1">
        <f>IFERROR(Data_Caso_Propuesto[[#This Row],[Precio]]/Data_Caso_Propuesto[[#This Row],[Area Terreno]],"")</f>
        <v>21419.612306276613</v>
      </c>
      <c r="O12" s="1">
        <f>IFERROR((Data_Caso_Propuesto[[#This Row],[Precio]]/Data_Caso_Propuesto[[#This Row],[Area Terreno]])/1000000,"")</f>
        <v>2.1419612306276613E-2</v>
      </c>
      <c r="P12" s="1"/>
    </row>
    <row r="13" spans="1:19" x14ac:dyDescent="0.25">
      <c r="A13" t="s">
        <v>172</v>
      </c>
      <c r="B13" t="s">
        <v>143</v>
      </c>
      <c r="C13" t="s">
        <v>36</v>
      </c>
      <c r="D13" t="s">
        <v>144</v>
      </c>
      <c r="E13" t="s">
        <v>173</v>
      </c>
      <c r="F13" s="3">
        <v>134000</v>
      </c>
      <c r="G13" s="3">
        <v>763.06</v>
      </c>
      <c r="H13" t="s">
        <v>40</v>
      </c>
      <c r="I13" t="s">
        <v>41</v>
      </c>
      <c r="J13">
        <v>3027404897</v>
      </c>
      <c r="K13" t="s">
        <v>68</v>
      </c>
      <c r="L13" s="4" t="s">
        <v>996</v>
      </c>
      <c r="M13" s="1">
        <f>Data_Caso_Propuesto[[#This Row],[Precio]]</f>
        <v>3027404897</v>
      </c>
      <c r="N13" s="1">
        <f>IFERROR(Data_Caso_Propuesto[[#This Row],[Precio]]/Data_Caso_Propuesto[[#This Row],[Area Terreno]],"")</f>
        <v>22592.573858208954</v>
      </c>
      <c r="O13" s="1">
        <f>IFERROR((Data_Caso_Propuesto[[#This Row],[Precio]]/Data_Caso_Propuesto[[#This Row],[Area Terreno]])/1000000,"")</f>
        <v>2.2592573858208953E-2</v>
      </c>
      <c r="P13" s="1"/>
    </row>
    <row r="14" spans="1:19" x14ac:dyDescent="0.25">
      <c r="A14" t="s">
        <v>233</v>
      </c>
      <c r="B14" t="s">
        <v>234</v>
      </c>
      <c r="C14" t="s">
        <v>235</v>
      </c>
      <c r="D14" t="s">
        <v>236</v>
      </c>
      <c r="E14" t="s">
        <v>237</v>
      </c>
      <c r="F14" s="3">
        <v>46126</v>
      </c>
      <c r="G14" s="3" t="s">
        <v>16</v>
      </c>
      <c r="H14" t="s">
        <v>17</v>
      </c>
      <c r="I14" t="s">
        <v>41</v>
      </c>
      <c r="J14">
        <v>1416213286</v>
      </c>
      <c r="K14" t="s">
        <v>113</v>
      </c>
      <c r="L14" t="s">
        <v>1000</v>
      </c>
      <c r="M14" s="1">
        <f>Data_Caso_Propuesto[[#This Row],[Precio]]</f>
        <v>1416213286</v>
      </c>
      <c r="N14" s="1">
        <f>IFERROR(Data_Caso_Propuesto[[#This Row],[Precio]]/Data_Caso_Propuesto[[#This Row],[Area Terreno]],"")</f>
        <v>30703.145427741405</v>
      </c>
      <c r="O14" s="1">
        <f>IFERROR((Data_Caso_Propuesto[[#This Row],[Precio]]/Data_Caso_Propuesto[[#This Row],[Area Terreno]])/1000000,"")</f>
        <v>3.0703145427741406E-2</v>
      </c>
      <c r="P14" s="1"/>
    </row>
    <row r="15" spans="1:19" x14ac:dyDescent="0.25">
      <c r="A15" t="s">
        <v>183</v>
      </c>
      <c r="B15" t="s">
        <v>143</v>
      </c>
      <c r="C15" t="s">
        <v>36</v>
      </c>
      <c r="D15" t="s">
        <v>144</v>
      </c>
      <c r="E15" t="s">
        <v>184</v>
      </c>
      <c r="F15" s="3">
        <v>71143</v>
      </c>
      <c r="G15" s="3">
        <v>745.33</v>
      </c>
      <c r="H15" t="s">
        <v>40</v>
      </c>
      <c r="I15" t="s">
        <v>41</v>
      </c>
      <c r="J15">
        <v>2700092084</v>
      </c>
      <c r="K15" t="s">
        <v>68</v>
      </c>
      <c r="L15" s="4" t="s">
        <v>996</v>
      </c>
      <c r="M15" s="1">
        <f>Data_Caso_Propuesto[[#This Row],[Precio]]</f>
        <v>2700092084</v>
      </c>
      <c r="N15" s="1">
        <f>IFERROR(Data_Caso_Propuesto[[#This Row],[Precio]]/Data_Caso_Propuesto[[#This Row],[Area Terreno]],"")</f>
        <v>37953.025371434996</v>
      </c>
      <c r="O15" s="1">
        <f>IFERROR((Data_Caso_Propuesto[[#This Row],[Precio]]/Data_Caso_Propuesto[[#This Row],[Area Terreno]])/1000000,"")</f>
        <v>3.7953025371434995E-2</v>
      </c>
      <c r="P15" s="1"/>
    </row>
    <row r="16" spans="1:19" x14ac:dyDescent="0.25">
      <c r="A16" t="s">
        <v>83</v>
      </c>
      <c r="B16" t="s">
        <v>84</v>
      </c>
      <c r="C16" t="s">
        <v>14</v>
      </c>
      <c r="D16" t="s">
        <v>85</v>
      </c>
      <c r="E16" t="s">
        <v>86</v>
      </c>
      <c r="F16" s="3">
        <v>11130</v>
      </c>
      <c r="G16" s="3" t="s">
        <v>87</v>
      </c>
      <c r="H16" t="s">
        <v>17</v>
      </c>
      <c r="I16" t="s">
        <v>18</v>
      </c>
      <c r="J16">
        <v>2558936000</v>
      </c>
      <c r="K16" t="s">
        <v>73</v>
      </c>
      <c r="L16" t="s">
        <v>15</v>
      </c>
      <c r="M16" s="1">
        <f>Data_Caso_Propuesto[[#This Row],[Precio]]</f>
        <v>2558936000</v>
      </c>
      <c r="N16" s="1">
        <f>IFERROR(Data_Caso_Propuesto[[#This Row],[Precio]]/Data_Caso_Propuesto[[#This Row],[Area Terreno]],"")</f>
        <v>229913.38724168914</v>
      </c>
      <c r="O16" s="1">
        <f>IFERROR((Data_Caso_Propuesto[[#This Row],[Precio]]/Data_Caso_Propuesto[[#This Row],[Area Terreno]])/1000000,"")</f>
        <v>0.22991338724168914</v>
      </c>
      <c r="P16" s="1"/>
    </row>
    <row r="17" spans="1:16" x14ac:dyDescent="0.25">
      <c r="A17" t="s">
        <v>53</v>
      </c>
      <c r="B17" t="s">
        <v>54</v>
      </c>
      <c r="C17" t="s">
        <v>14</v>
      </c>
      <c r="D17" t="s">
        <v>55</v>
      </c>
      <c r="E17" t="s">
        <v>56</v>
      </c>
      <c r="F17" s="3">
        <v>25002.63</v>
      </c>
      <c r="G17" s="3" t="s">
        <v>57</v>
      </c>
      <c r="H17" t="s">
        <v>40</v>
      </c>
      <c r="I17" t="s">
        <v>23</v>
      </c>
      <c r="J17">
        <v>10407336173</v>
      </c>
      <c r="K17" t="s">
        <v>58</v>
      </c>
      <c r="L17" t="s">
        <v>15</v>
      </c>
      <c r="M17" s="1">
        <f>Data_Caso_Propuesto[[#This Row],[Precio]]</f>
        <v>10407336173</v>
      </c>
      <c r="N17" s="1">
        <f>IFERROR(Data_Caso_Propuesto[[#This Row],[Precio]]/Data_Caso_Propuesto[[#This Row],[Area Terreno]],"")</f>
        <v>416249.65745603561</v>
      </c>
      <c r="O17" s="1">
        <f>IFERROR((Data_Caso_Propuesto[[#This Row],[Precio]]/Data_Caso_Propuesto[[#This Row],[Area Terreno]])/1000000,"")</f>
        <v>0.41624965745603559</v>
      </c>
      <c r="P17" s="1"/>
    </row>
    <row r="18" spans="1:16" x14ac:dyDescent="0.25">
      <c r="A18" t="s">
        <v>90</v>
      </c>
      <c r="B18" t="s">
        <v>13</v>
      </c>
      <c r="C18" t="s">
        <v>14</v>
      </c>
      <c r="D18" t="s">
        <v>15</v>
      </c>
      <c r="E18" t="s">
        <v>91</v>
      </c>
      <c r="F18" s="3">
        <v>710.64</v>
      </c>
      <c r="G18" s="3">
        <v>750.64</v>
      </c>
      <c r="H18" t="s">
        <v>17</v>
      </c>
      <c r="I18" t="s">
        <v>61</v>
      </c>
      <c r="J18">
        <v>1169682630</v>
      </c>
      <c r="K18" t="s">
        <v>62</v>
      </c>
      <c r="L18" t="s">
        <v>15</v>
      </c>
      <c r="M18" s="1">
        <f>Data_Caso_Propuesto[[#This Row],[Precio]]</f>
        <v>1169682630</v>
      </c>
      <c r="N18" s="1">
        <f>IFERROR(Data_Caso_Propuesto[[#This Row],[Precio]]/Data_Caso_Propuesto[[#This Row],[Area Terreno]],"")</f>
        <v>1645956.6447146235</v>
      </c>
      <c r="O18" s="1">
        <f>IFERROR((Data_Caso_Propuesto[[#This Row],[Precio]]/Data_Caso_Propuesto[[#This Row],[Area Terreno]])/1000000,"")</f>
        <v>1.6459566447146234</v>
      </c>
      <c r="P18" s="1"/>
    </row>
    <row r="19" spans="1:16" x14ac:dyDescent="0.25">
      <c r="A19" t="s">
        <v>26</v>
      </c>
      <c r="B19" t="s">
        <v>27</v>
      </c>
      <c r="C19" t="s">
        <v>28</v>
      </c>
      <c r="D19" t="s">
        <v>29</v>
      </c>
      <c r="E19" t="s">
        <v>1001</v>
      </c>
      <c r="F19" s="3">
        <v>1655.08</v>
      </c>
      <c r="G19" s="3" t="s">
        <v>30</v>
      </c>
      <c r="H19" t="s">
        <v>17</v>
      </c>
      <c r="I19" t="s">
        <v>31</v>
      </c>
      <c r="J19">
        <v>13768280900</v>
      </c>
      <c r="K19" t="s">
        <v>32</v>
      </c>
      <c r="L19" t="s">
        <v>33</v>
      </c>
      <c r="M19" s="1">
        <f>Data_Caso_Propuesto[[#This Row],[Precio]]</f>
        <v>13768280900</v>
      </c>
      <c r="N19" s="1">
        <f>IFERROR(Data_Caso_Propuesto[[#This Row],[Precio]]/Data_Caso_Propuesto[[#This Row],[Area Terreno]],"")</f>
        <v>8318800.8434637608</v>
      </c>
      <c r="O19" s="1">
        <f>IFERROR((Data_Caso_Propuesto[[#This Row],[Precio]]/Data_Caso_Propuesto[[#This Row],[Area Terreno]])/1000000,"")</f>
        <v>8.3188008434637606</v>
      </c>
      <c r="P19" s="1"/>
    </row>
    <row r="20" spans="1:16" x14ac:dyDescent="0.25">
      <c r="A20" t="s">
        <v>12</v>
      </c>
      <c r="B20" t="s">
        <v>13</v>
      </c>
      <c r="C20" t="s">
        <v>14</v>
      </c>
      <c r="D20" t="s">
        <v>15</v>
      </c>
      <c r="E20" t="s">
        <v>1002</v>
      </c>
      <c r="F20" s="3">
        <v>0</v>
      </c>
      <c r="G20" s="3" t="s">
        <v>16</v>
      </c>
      <c r="H20" t="s">
        <v>17</v>
      </c>
      <c r="I20" t="s">
        <v>18</v>
      </c>
      <c r="J20">
        <v>29580811900</v>
      </c>
      <c r="K20" t="s">
        <v>19</v>
      </c>
      <c r="L20" t="s">
        <v>20</v>
      </c>
      <c r="M20" s="1">
        <f>Data_Caso_Propuesto[[#This Row],[Precio]]</f>
        <v>29580811900</v>
      </c>
      <c r="N20" s="1" t="str">
        <f>IFERROR(Data_Caso_Propuesto[[#This Row],[Precio]]/Data_Caso_Propuesto[[#This Row],[Area Terreno]],"")</f>
        <v/>
      </c>
      <c r="O20" s="1" t="str">
        <f>IFERROR((Data_Caso_Propuesto[[#This Row],[Precio]]/Data_Caso_Propuesto[[#This Row],[Area Terreno]])/1000000,"")</f>
        <v/>
      </c>
      <c r="P20" s="1"/>
    </row>
    <row r="21" spans="1:16" x14ac:dyDescent="0.25">
      <c r="A21" t="s">
        <v>21</v>
      </c>
      <c r="B21" t="s">
        <v>13</v>
      </c>
      <c r="C21" t="s">
        <v>14</v>
      </c>
      <c r="D21" t="s">
        <v>15</v>
      </c>
      <c r="E21" t="s">
        <v>1003</v>
      </c>
      <c r="F21" s="3" t="s">
        <v>16</v>
      </c>
      <c r="G21" s="3" t="s">
        <v>16</v>
      </c>
      <c r="H21" t="s">
        <v>22</v>
      </c>
      <c r="I21" t="s">
        <v>23</v>
      </c>
      <c r="J21">
        <v>16460591500</v>
      </c>
      <c r="K21" t="s">
        <v>24</v>
      </c>
      <c r="L21" t="s">
        <v>15</v>
      </c>
      <c r="M21" s="1">
        <f>Data_Caso_Propuesto[[#This Row],[Precio]]</f>
        <v>16460591500</v>
      </c>
      <c r="N21" s="1" t="str">
        <f>IFERROR(Data_Caso_Propuesto[[#This Row],[Precio]]/Data_Caso_Propuesto[[#This Row],[Area Terreno]],"")</f>
        <v/>
      </c>
      <c r="O21" s="1" t="str">
        <f>IFERROR((Data_Caso_Propuesto[[#This Row],[Precio]]/Data_Caso_Propuesto[[#This Row],[Area Terreno]])/1000000,"")</f>
        <v/>
      </c>
      <c r="P21" s="1"/>
    </row>
    <row r="22" spans="1:16" x14ac:dyDescent="0.25">
      <c r="A22" t="s">
        <v>21</v>
      </c>
      <c r="B22" t="s">
        <v>13</v>
      </c>
      <c r="C22" t="s">
        <v>14</v>
      </c>
      <c r="D22" t="s">
        <v>15</v>
      </c>
      <c r="E22" t="s">
        <v>1003</v>
      </c>
      <c r="F22" s="3" t="s">
        <v>16</v>
      </c>
      <c r="G22" s="3" t="s">
        <v>16</v>
      </c>
      <c r="H22" t="s">
        <v>25</v>
      </c>
      <c r="I22" t="s">
        <v>23</v>
      </c>
      <c r="J22">
        <v>16460591500</v>
      </c>
      <c r="K22" t="s">
        <v>24</v>
      </c>
      <c r="L22" t="s">
        <v>15</v>
      </c>
      <c r="M22" s="1">
        <f>Data_Caso_Propuesto[[#This Row],[Precio]]</f>
        <v>16460591500</v>
      </c>
      <c r="N22" s="1" t="str">
        <f>IFERROR(Data_Caso_Propuesto[[#This Row],[Precio]]/Data_Caso_Propuesto[[#This Row],[Area Terreno]],"")</f>
        <v/>
      </c>
      <c r="O22" s="1" t="str">
        <f>IFERROR((Data_Caso_Propuesto[[#This Row],[Precio]]/Data_Caso_Propuesto[[#This Row],[Area Terreno]])/1000000,"")</f>
        <v/>
      </c>
      <c r="P22" s="1"/>
    </row>
    <row r="23" spans="1:16" x14ac:dyDescent="0.25">
      <c r="A23" t="s">
        <v>43</v>
      </c>
      <c r="B23" t="s">
        <v>44</v>
      </c>
      <c r="C23" t="s">
        <v>45</v>
      </c>
      <c r="D23" t="s">
        <v>15</v>
      </c>
      <c r="E23" t="s">
        <v>1004</v>
      </c>
      <c r="F23" s="3" t="s">
        <v>16</v>
      </c>
      <c r="G23" s="3" t="s">
        <v>16</v>
      </c>
      <c r="H23" t="s">
        <v>22</v>
      </c>
      <c r="I23" t="s">
        <v>18</v>
      </c>
      <c r="J23">
        <v>4190155021</v>
      </c>
      <c r="K23" t="s">
        <v>46</v>
      </c>
      <c r="L23" t="s">
        <v>1005</v>
      </c>
      <c r="M23" s="1">
        <f>Data_Caso_Propuesto[[#This Row],[Precio]]</f>
        <v>4190155021</v>
      </c>
      <c r="N23" s="1" t="str">
        <f>IFERROR(Data_Caso_Propuesto[[#This Row],[Precio]]/Data_Caso_Propuesto[[#This Row],[Area Terreno]],"")</f>
        <v/>
      </c>
      <c r="O23" s="1" t="str">
        <f>IFERROR((Data_Caso_Propuesto[[#This Row],[Precio]]/Data_Caso_Propuesto[[#This Row],[Area Terreno]])/1000000,"")</f>
        <v/>
      </c>
      <c r="P23" s="1"/>
    </row>
    <row r="24" spans="1:16" x14ac:dyDescent="0.25">
      <c r="A24" t="s">
        <v>47</v>
      </c>
      <c r="B24" t="s">
        <v>48</v>
      </c>
      <c r="C24" t="s">
        <v>49</v>
      </c>
      <c r="D24" t="s">
        <v>15</v>
      </c>
      <c r="E24" t="s">
        <v>50</v>
      </c>
      <c r="F24" s="3" t="s">
        <v>16</v>
      </c>
      <c r="G24" s="3" t="s">
        <v>16</v>
      </c>
      <c r="H24" t="s">
        <v>51</v>
      </c>
      <c r="I24" t="s">
        <v>41</v>
      </c>
      <c r="J24">
        <v>3109306614</v>
      </c>
      <c r="K24" t="s">
        <v>46</v>
      </c>
      <c r="L24" t="s">
        <v>52</v>
      </c>
      <c r="M24" s="1">
        <f>Data_Caso_Propuesto[[#This Row],[Precio]]</f>
        <v>3109306614</v>
      </c>
      <c r="N24" s="1" t="str">
        <f>IFERROR(Data_Caso_Propuesto[[#This Row],[Precio]]/Data_Caso_Propuesto[[#This Row],[Area Terreno]],"")</f>
        <v/>
      </c>
      <c r="O24" s="1" t="str">
        <f>IFERROR((Data_Caso_Propuesto[[#This Row],[Precio]]/Data_Caso_Propuesto[[#This Row],[Area Terreno]])/1000000,"")</f>
        <v/>
      </c>
      <c r="P24" s="1"/>
    </row>
    <row r="25" spans="1:16" x14ac:dyDescent="0.25">
      <c r="A25" t="s">
        <v>59</v>
      </c>
      <c r="B25" t="s">
        <v>60</v>
      </c>
      <c r="C25" t="s">
        <v>14</v>
      </c>
      <c r="D25" t="s">
        <v>15</v>
      </c>
      <c r="E25" t="s">
        <v>1006</v>
      </c>
      <c r="F25" s="3" t="s">
        <v>16</v>
      </c>
      <c r="G25" s="3" t="s">
        <v>16</v>
      </c>
      <c r="H25" t="s">
        <v>17</v>
      </c>
      <c r="I25" t="s">
        <v>61</v>
      </c>
      <c r="J25">
        <v>2100890600</v>
      </c>
      <c r="K25" t="s">
        <v>62</v>
      </c>
      <c r="L25" t="s">
        <v>15</v>
      </c>
      <c r="M25" s="1">
        <f>Data_Caso_Propuesto[[#This Row],[Precio]]</f>
        <v>2100890600</v>
      </c>
      <c r="N25" s="1" t="str">
        <f>IFERROR(Data_Caso_Propuesto[[#This Row],[Precio]]/Data_Caso_Propuesto[[#This Row],[Area Terreno]],"")</f>
        <v/>
      </c>
      <c r="O25" s="1" t="str">
        <f>IFERROR((Data_Caso_Propuesto[[#This Row],[Precio]]/Data_Caso_Propuesto[[#This Row],[Area Terreno]])/1000000,"")</f>
        <v/>
      </c>
      <c r="P25" s="1"/>
    </row>
    <row r="26" spans="1:16" x14ac:dyDescent="0.25">
      <c r="A26" t="s">
        <v>63</v>
      </c>
      <c r="B26" t="s">
        <v>13</v>
      </c>
      <c r="C26" t="s">
        <v>14</v>
      </c>
      <c r="D26" t="s">
        <v>15</v>
      </c>
      <c r="E26" t="s">
        <v>1007</v>
      </c>
      <c r="F26" s="3" t="s">
        <v>16</v>
      </c>
      <c r="G26" s="3" t="s">
        <v>16</v>
      </c>
      <c r="H26" t="s">
        <v>51</v>
      </c>
      <c r="I26" t="s">
        <v>64</v>
      </c>
      <c r="J26">
        <v>2042687988</v>
      </c>
      <c r="K26" t="s">
        <v>65</v>
      </c>
      <c r="L26" t="s">
        <v>15</v>
      </c>
      <c r="M26" s="1">
        <f>Data_Caso_Propuesto[[#This Row],[Precio]]</f>
        <v>2042687988</v>
      </c>
      <c r="N26" s="1" t="str">
        <f>IFERROR(Data_Caso_Propuesto[[#This Row],[Precio]]/Data_Caso_Propuesto[[#This Row],[Area Terreno]],"")</f>
        <v/>
      </c>
      <c r="O26" s="1" t="str">
        <f>IFERROR((Data_Caso_Propuesto[[#This Row],[Precio]]/Data_Caso_Propuesto[[#This Row],[Area Terreno]])/1000000,"")</f>
        <v/>
      </c>
      <c r="P26" s="1"/>
    </row>
    <row r="27" spans="1:16" x14ac:dyDescent="0.25">
      <c r="A27" t="s">
        <v>66</v>
      </c>
      <c r="B27" t="s">
        <v>67</v>
      </c>
      <c r="C27" t="s">
        <v>49</v>
      </c>
      <c r="D27" t="s">
        <v>15</v>
      </c>
      <c r="E27" t="s">
        <v>1008</v>
      </c>
      <c r="F27" s="3" t="s">
        <v>16</v>
      </c>
      <c r="G27" s="3" t="s">
        <v>16</v>
      </c>
      <c r="H27" t="s">
        <v>51</v>
      </c>
      <c r="I27" t="s">
        <v>41</v>
      </c>
      <c r="J27">
        <v>2041211340</v>
      </c>
      <c r="K27" t="s">
        <v>68</v>
      </c>
      <c r="L27" t="s">
        <v>1009</v>
      </c>
      <c r="M27" s="1">
        <f>Data_Caso_Propuesto[[#This Row],[Precio]]</f>
        <v>2041211340</v>
      </c>
      <c r="N27" s="1" t="str">
        <f>IFERROR(Data_Caso_Propuesto[[#This Row],[Precio]]/Data_Caso_Propuesto[[#This Row],[Area Terreno]],"")</f>
        <v/>
      </c>
      <c r="O27" s="1" t="str">
        <f>IFERROR((Data_Caso_Propuesto[[#This Row],[Precio]]/Data_Caso_Propuesto[[#This Row],[Area Terreno]])/1000000,"")</f>
        <v/>
      </c>
      <c r="P27" s="1"/>
    </row>
    <row r="28" spans="1:16" x14ac:dyDescent="0.25">
      <c r="A28" t="s">
        <v>69</v>
      </c>
      <c r="B28" t="s">
        <v>70</v>
      </c>
      <c r="C28" t="s">
        <v>71</v>
      </c>
      <c r="D28" t="s">
        <v>15</v>
      </c>
      <c r="E28" t="s">
        <v>1010</v>
      </c>
      <c r="F28" s="3" t="s">
        <v>16</v>
      </c>
      <c r="G28" s="3" t="s">
        <v>16</v>
      </c>
      <c r="H28" t="s">
        <v>25</v>
      </c>
      <c r="I28" t="s">
        <v>72</v>
      </c>
      <c r="J28">
        <v>1946238900</v>
      </c>
      <c r="K28" t="s">
        <v>73</v>
      </c>
      <c r="L28" t="s">
        <v>15</v>
      </c>
      <c r="M28" s="1">
        <f>Data_Caso_Propuesto[[#This Row],[Precio]]</f>
        <v>1946238900</v>
      </c>
      <c r="N28" s="1" t="str">
        <f>IFERROR(Data_Caso_Propuesto[[#This Row],[Precio]]/Data_Caso_Propuesto[[#This Row],[Area Terreno]],"")</f>
        <v/>
      </c>
      <c r="O28" s="1" t="str">
        <f>IFERROR((Data_Caso_Propuesto[[#This Row],[Precio]]/Data_Caso_Propuesto[[#This Row],[Area Terreno]])/1000000,"")</f>
        <v/>
      </c>
      <c r="P28" s="1"/>
    </row>
    <row r="29" spans="1:16" x14ac:dyDescent="0.25">
      <c r="A29" t="s">
        <v>74</v>
      </c>
      <c r="B29" t="s">
        <v>75</v>
      </c>
      <c r="C29" t="s">
        <v>76</v>
      </c>
      <c r="D29" t="s">
        <v>15</v>
      </c>
      <c r="E29" t="s">
        <v>1011</v>
      </c>
      <c r="F29" s="3" t="s">
        <v>16</v>
      </c>
      <c r="G29" s="3" t="s">
        <v>16</v>
      </c>
      <c r="H29" t="s">
        <v>77</v>
      </c>
      <c r="I29" t="s">
        <v>31</v>
      </c>
      <c r="J29">
        <v>1935725000</v>
      </c>
      <c r="K29" t="s">
        <v>78</v>
      </c>
      <c r="L29" t="s">
        <v>15</v>
      </c>
      <c r="M29" s="1">
        <f>Data_Caso_Propuesto[[#This Row],[Precio]]</f>
        <v>1935725000</v>
      </c>
      <c r="N29" s="1" t="str">
        <f>IFERROR(Data_Caso_Propuesto[[#This Row],[Precio]]/Data_Caso_Propuesto[[#This Row],[Area Terreno]],"")</f>
        <v/>
      </c>
      <c r="O29" s="1" t="str">
        <f>IFERROR((Data_Caso_Propuesto[[#This Row],[Precio]]/Data_Caso_Propuesto[[#This Row],[Area Terreno]])/1000000,"")</f>
        <v/>
      </c>
      <c r="P29" s="1"/>
    </row>
    <row r="30" spans="1:16" x14ac:dyDescent="0.25">
      <c r="A30" t="s">
        <v>79</v>
      </c>
      <c r="B30" t="s">
        <v>80</v>
      </c>
      <c r="C30" t="s">
        <v>36</v>
      </c>
      <c r="D30" t="s">
        <v>15</v>
      </c>
      <c r="E30" t="s">
        <v>1012</v>
      </c>
      <c r="F30" s="3" t="s">
        <v>16</v>
      </c>
      <c r="G30" s="3" t="s">
        <v>16</v>
      </c>
      <c r="H30" t="s">
        <v>51</v>
      </c>
      <c r="I30" t="s">
        <v>81</v>
      </c>
      <c r="J30">
        <v>1802514500</v>
      </c>
      <c r="K30" t="s">
        <v>62</v>
      </c>
      <c r="L30" t="s">
        <v>82</v>
      </c>
      <c r="M30" s="1">
        <f>Data_Caso_Propuesto[[#This Row],[Precio]]</f>
        <v>1802514500</v>
      </c>
      <c r="N30" s="1" t="str">
        <f>IFERROR(Data_Caso_Propuesto[[#This Row],[Precio]]/Data_Caso_Propuesto[[#This Row],[Area Terreno]],"")</f>
        <v/>
      </c>
      <c r="O30" s="1" t="str">
        <f>IFERROR((Data_Caso_Propuesto[[#This Row],[Precio]]/Data_Caso_Propuesto[[#This Row],[Area Terreno]])/1000000,"")</f>
        <v/>
      </c>
      <c r="P30" s="1"/>
    </row>
    <row r="31" spans="1:16" x14ac:dyDescent="0.25">
      <c r="A31" t="s">
        <v>88</v>
      </c>
      <c r="B31" t="s">
        <v>89</v>
      </c>
      <c r="C31" t="s">
        <v>49</v>
      </c>
      <c r="D31" t="s">
        <v>15</v>
      </c>
      <c r="E31" t="s">
        <v>1013</v>
      </c>
      <c r="F31" s="3" t="s">
        <v>16</v>
      </c>
      <c r="G31" s="3" t="s">
        <v>16</v>
      </c>
      <c r="H31" t="s">
        <v>51</v>
      </c>
      <c r="I31" t="s">
        <v>64</v>
      </c>
      <c r="J31">
        <v>1190905320</v>
      </c>
      <c r="K31" t="s">
        <v>65</v>
      </c>
      <c r="L31" t="s">
        <v>1014</v>
      </c>
      <c r="M31" s="1">
        <f>Data_Caso_Propuesto[[#This Row],[Precio]]</f>
        <v>1190905320</v>
      </c>
      <c r="N31" s="1" t="str">
        <f>IFERROR(Data_Caso_Propuesto[[#This Row],[Precio]]/Data_Caso_Propuesto[[#This Row],[Area Terreno]],"")</f>
        <v/>
      </c>
      <c r="O31" s="1" t="str">
        <f>IFERROR((Data_Caso_Propuesto[[#This Row],[Precio]]/Data_Caso_Propuesto[[#This Row],[Area Terreno]])/1000000,"")</f>
        <v/>
      </c>
      <c r="P31" s="1"/>
    </row>
    <row r="32" spans="1:16" x14ac:dyDescent="0.25">
      <c r="A32" t="s">
        <v>92</v>
      </c>
      <c r="B32" t="s">
        <v>93</v>
      </c>
      <c r="C32" t="s">
        <v>45</v>
      </c>
      <c r="D32" t="s">
        <v>15</v>
      </c>
      <c r="E32" t="s">
        <v>1015</v>
      </c>
      <c r="F32" s="3" t="s">
        <v>16</v>
      </c>
      <c r="G32" s="3" t="s">
        <v>16</v>
      </c>
      <c r="H32" t="s">
        <v>25</v>
      </c>
      <c r="I32" t="s">
        <v>72</v>
      </c>
      <c r="J32">
        <v>1040013730</v>
      </c>
      <c r="K32" t="s">
        <v>94</v>
      </c>
      <c r="L32" t="s">
        <v>15</v>
      </c>
      <c r="M32" s="1">
        <f>Data_Caso_Propuesto[[#This Row],[Precio]]</f>
        <v>1040013730</v>
      </c>
      <c r="N32" s="1" t="str">
        <f>IFERROR(Data_Caso_Propuesto[[#This Row],[Precio]]/Data_Caso_Propuesto[[#This Row],[Area Terreno]],"")</f>
        <v/>
      </c>
      <c r="O32" s="1" t="str">
        <f>IFERROR((Data_Caso_Propuesto[[#This Row],[Precio]]/Data_Caso_Propuesto[[#This Row],[Area Terreno]])/1000000,"")</f>
        <v/>
      </c>
      <c r="P32" s="1"/>
    </row>
    <row r="33" spans="1:16" x14ac:dyDescent="0.25">
      <c r="A33" t="s">
        <v>95</v>
      </c>
      <c r="B33" t="s">
        <v>13</v>
      </c>
      <c r="C33" t="s">
        <v>14</v>
      </c>
      <c r="D33" t="s">
        <v>15</v>
      </c>
      <c r="E33" t="s">
        <v>96</v>
      </c>
      <c r="F33" s="3" t="s">
        <v>16</v>
      </c>
      <c r="G33" s="3" t="s">
        <v>16</v>
      </c>
      <c r="H33" t="s">
        <v>17</v>
      </c>
      <c r="I33" t="s">
        <v>72</v>
      </c>
      <c r="J33">
        <v>4747362800</v>
      </c>
      <c r="K33" t="s">
        <v>94</v>
      </c>
      <c r="L33" t="s">
        <v>15</v>
      </c>
      <c r="M33" s="1">
        <f>Data_Caso_Propuesto[[#This Row],[Precio]]</f>
        <v>4747362800</v>
      </c>
      <c r="N33" s="1" t="str">
        <f>IFERROR(Data_Caso_Propuesto[[#This Row],[Precio]]/Data_Caso_Propuesto[[#This Row],[Area Terreno]],"")</f>
        <v/>
      </c>
      <c r="O33" s="1" t="str">
        <f>IFERROR((Data_Caso_Propuesto[[#This Row],[Precio]]/Data_Caso_Propuesto[[#This Row],[Area Terreno]])/1000000,"")</f>
        <v/>
      </c>
      <c r="P33" s="1"/>
    </row>
    <row r="34" spans="1:16" x14ac:dyDescent="0.25">
      <c r="A34" t="s">
        <v>97</v>
      </c>
      <c r="B34" t="s">
        <v>13</v>
      </c>
      <c r="C34" t="s">
        <v>14</v>
      </c>
      <c r="D34" t="s">
        <v>15</v>
      </c>
      <c r="E34" t="s">
        <v>1016</v>
      </c>
      <c r="F34" s="3" t="s">
        <v>16</v>
      </c>
      <c r="G34" s="3" t="s">
        <v>16</v>
      </c>
      <c r="H34" t="s">
        <v>17</v>
      </c>
      <c r="I34" t="s">
        <v>61</v>
      </c>
      <c r="J34">
        <v>25416536260</v>
      </c>
      <c r="K34" t="s">
        <v>62</v>
      </c>
      <c r="L34" t="s">
        <v>15</v>
      </c>
      <c r="M34" s="1">
        <f>Data_Caso_Propuesto[[#This Row],[Precio]]</f>
        <v>25416536260</v>
      </c>
      <c r="N34" s="1" t="str">
        <f>IFERROR(Data_Caso_Propuesto[[#This Row],[Precio]]/Data_Caso_Propuesto[[#This Row],[Area Terreno]],"")</f>
        <v/>
      </c>
      <c r="O34" s="1" t="str">
        <f>IFERROR((Data_Caso_Propuesto[[#This Row],[Precio]]/Data_Caso_Propuesto[[#This Row],[Area Terreno]])/1000000,"")</f>
        <v/>
      </c>
      <c r="P34" s="1"/>
    </row>
    <row r="35" spans="1:16" x14ac:dyDescent="0.25">
      <c r="A35" t="s">
        <v>98</v>
      </c>
      <c r="B35" t="s">
        <v>13</v>
      </c>
      <c r="C35" t="s">
        <v>14</v>
      </c>
      <c r="D35" t="s">
        <v>15</v>
      </c>
      <c r="E35" t="s">
        <v>99</v>
      </c>
      <c r="F35" s="3" t="s">
        <v>16</v>
      </c>
      <c r="G35" s="3" t="s">
        <v>16</v>
      </c>
      <c r="H35" t="s">
        <v>17</v>
      </c>
      <c r="I35" t="s">
        <v>18</v>
      </c>
      <c r="J35">
        <v>866644750</v>
      </c>
      <c r="K35" t="s">
        <v>94</v>
      </c>
      <c r="L35" t="s">
        <v>15</v>
      </c>
      <c r="M35" s="1">
        <f>Data_Caso_Propuesto[[#This Row],[Precio]]</f>
        <v>866644750</v>
      </c>
      <c r="N35" s="1" t="str">
        <f>IFERROR(Data_Caso_Propuesto[[#This Row],[Precio]]/Data_Caso_Propuesto[[#This Row],[Area Terreno]],"")</f>
        <v/>
      </c>
      <c r="O35" s="1" t="str">
        <f>IFERROR((Data_Caso_Propuesto[[#This Row],[Precio]]/Data_Caso_Propuesto[[#This Row],[Area Terreno]])/1000000,"")</f>
        <v/>
      </c>
      <c r="P35" s="1"/>
    </row>
    <row r="36" spans="1:16" x14ac:dyDescent="0.25">
      <c r="A36" t="s">
        <v>100</v>
      </c>
      <c r="B36" t="s">
        <v>13</v>
      </c>
      <c r="C36" t="s">
        <v>14</v>
      </c>
      <c r="D36" t="s">
        <v>15</v>
      </c>
      <c r="E36" t="s">
        <v>101</v>
      </c>
      <c r="F36" s="3" t="s">
        <v>16</v>
      </c>
      <c r="G36" s="3" t="s">
        <v>16</v>
      </c>
      <c r="H36" t="s">
        <v>25</v>
      </c>
      <c r="I36" t="s">
        <v>23</v>
      </c>
      <c r="J36">
        <v>784336820</v>
      </c>
      <c r="K36" t="s">
        <v>102</v>
      </c>
      <c r="L36" t="s">
        <v>15</v>
      </c>
      <c r="M36" s="1">
        <f>Data_Caso_Propuesto[[#This Row],[Precio]]</f>
        <v>784336820</v>
      </c>
      <c r="N36" s="1" t="str">
        <f>IFERROR(Data_Caso_Propuesto[[#This Row],[Precio]]/Data_Caso_Propuesto[[#This Row],[Area Terreno]],"")</f>
        <v/>
      </c>
      <c r="O36" s="1" t="str">
        <f>IFERROR((Data_Caso_Propuesto[[#This Row],[Precio]]/Data_Caso_Propuesto[[#This Row],[Area Terreno]])/1000000,"")</f>
        <v/>
      </c>
      <c r="P36" s="1"/>
    </row>
    <row r="37" spans="1:16" x14ac:dyDescent="0.25">
      <c r="A37" t="s">
        <v>103</v>
      </c>
      <c r="B37" t="s">
        <v>13</v>
      </c>
      <c r="C37" t="s">
        <v>14</v>
      </c>
      <c r="D37" t="s">
        <v>15</v>
      </c>
      <c r="E37" t="s">
        <v>104</v>
      </c>
      <c r="F37" s="3" t="s">
        <v>16</v>
      </c>
      <c r="G37" s="3" t="s">
        <v>16</v>
      </c>
      <c r="H37" t="s">
        <v>17</v>
      </c>
      <c r="I37" t="s">
        <v>18</v>
      </c>
      <c r="J37">
        <v>713410050</v>
      </c>
      <c r="K37" t="s">
        <v>94</v>
      </c>
      <c r="L37" t="s">
        <v>15</v>
      </c>
      <c r="M37" s="1">
        <f>Data_Caso_Propuesto[[#This Row],[Precio]]</f>
        <v>713410050</v>
      </c>
      <c r="N37" s="1" t="str">
        <f>IFERROR(Data_Caso_Propuesto[[#This Row],[Precio]]/Data_Caso_Propuesto[[#This Row],[Area Terreno]],"")</f>
        <v/>
      </c>
      <c r="O37" s="1" t="str">
        <f>IFERROR((Data_Caso_Propuesto[[#This Row],[Precio]]/Data_Caso_Propuesto[[#This Row],[Area Terreno]])/1000000,"")</f>
        <v/>
      </c>
      <c r="P37" s="1"/>
    </row>
    <row r="38" spans="1:16" x14ac:dyDescent="0.25">
      <c r="A38" t="s">
        <v>105</v>
      </c>
      <c r="B38" t="s">
        <v>13</v>
      </c>
      <c r="C38" t="s">
        <v>14</v>
      </c>
      <c r="D38" t="s">
        <v>15</v>
      </c>
      <c r="E38" t="s">
        <v>106</v>
      </c>
      <c r="F38" s="3" t="s">
        <v>16</v>
      </c>
      <c r="G38" s="3" t="s">
        <v>16</v>
      </c>
      <c r="H38" t="s">
        <v>25</v>
      </c>
      <c r="I38" t="s">
        <v>23</v>
      </c>
      <c r="J38">
        <v>697548450</v>
      </c>
      <c r="K38" t="s">
        <v>102</v>
      </c>
      <c r="L38" t="s">
        <v>15</v>
      </c>
      <c r="M38" s="1">
        <f>Data_Caso_Propuesto[[#This Row],[Precio]]</f>
        <v>697548450</v>
      </c>
      <c r="N38" s="1" t="str">
        <f>IFERROR(Data_Caso_Propuesto[[#This Row],[Precio]]/Data_Caso_Propuesto[[#This Row],[Area Terreno]],"")</f>
        <v/>
      </c>
      <c r="O38" s="1" t="str">
        <f>IFERROR((Data_Caso_Propuesto[[#This Row],[Precio]]/Data_Caso_Propuesto[[#This Row],[Area Terreno]])/1000000,"")</f>
        <v/>
      </c>
      <c r="P38" s="1"/>
    </row>
    <row r="39" spans="1:16" x14ac:dyDescent="0.25">
      <c r="A39" t="s">
        <v>107</v>
      </c>
      <c r="B39" t="s">
        <v>108</v>
      </c>
      <c r="C39" t="s">
        <v>49</v>
      </c>
      <c r="D39" t="s">
        <v>15</v>
      </c>
      <c r="E39" t="s">
        <v>109</v>
      </c>
      <c r="F39" s="3" t="s">
        <v>16</v>
      </c>
      <c r="G39" s="3" t="s">
        <v>16</v>
      </c>
      <c r="H39" t="s">
        <v>51</v>
      </c>
      <c r="I39" t="s">
        <v>41</v>
      </c>
      <c r="J39">
        <v>693405250</v>
      </c>
      <c r="K39" t="s">
        <v>46</v>
      </c>
      <c r="L39" t="s">
        <v>1017</v>
      </c>
      <c r="M39" s="1">
        <f>Data_Caso_Propuesto[[#This Row],[Precio]]</f>
        <v>693405250</v>
      </c>
      <c r="N39" s="1" t="str">
        <f>IFERROR(Data_Caso_Propuesto[[#This Row],[Precio]]/Data_Caso_Propuesto[[#This Row],[Area Terreno]],"")</f>
        <v/>
      </c>
      <c r="O39" s="1" t="str">
        <f>IFERROR((Data_Caso_Propuesto[[#This Row],[Precio]]/Data_Caso_Propuesto[[#This Row],[Area Terreno]])/1000000,"")</f>
        <v/>
      </c>
      <c r="P39" s="1"/>
    </row>
    <row r="40" spans="1:16" x14ac:dyDescent="0.25">
      <c r="A40" t="s">
        <v>110</v>
      </c>
      <c r="B40" t="s">
        <v>111</v>
      </c>
      <c r="C40" t="s">
        <v>112</v>
      </c>
      <c r="D40" t="s">
        <v>15</v>
      </c>
      <c r="E40" t="s">
        <v>1018</v>
      </c>
      <c r="F40" s="3" t="s">
        <v>16</v>
      </c>
      <c r="G40" s="3" t="s">
        <v>16</v>
      </c>
      <c r="H40" t="s">
        <v>22</v>
      </c>
      <c r="I40" t="s">
        <v>41</v>
      </c>
      <c r="J40">
        <v>4527473614</v>
      </c>
      <c r="K40" t="s">
        <v>113</v>
      </c>
      <c r="L40" t="s">
        <v>1019</v>
      </c>
      <c r="M40" s="1">
        <f>Data_Caso_Propuesto[[#This Row],[Precio]]</f>
        <v>4527473614</v>
      </c>
      <c r="N40" s="1" t="str">
        <f>IFERROR(Data_Caso_Propuesto[[#This Row],[Precio]]/Data_Caso_Propuesto[[#This Row],[Area Terreno]],"")</f>
        <v/>
      </c>
      <c r="O40" s="1" t="str">
        <f>IFERROR((Data_Caso_Propuesto[[#This Row],[Precio]]/Data_Caso_Propuesto[[#This Row],[Area Terreno]])/1000000,"")</f>
        <v/>
      </c>
      <c r="P40" s="1"/>
    </row>
    <row r="41" spans="1:16" x14ac:dyDescent="0.25">
      <c r="A41" t="s">
        <v>114</v>
      </c>
      <c r="B41" t="s">
        <v>48</v>
      </c>
      <c r="C41" t="s">
        <v>49</v>
      </c>
      <c r="D41" t="s">
        <v>15</v>
      </c>
      <c r="E41" t="s">
        <v>115</v>
      </c>
      <c r="F41" s="3" t="s">
        <v>16</v>
      </c>
      <c r="G41" s="3" t="s">
        <v>16</v>
      </c>
      <c r="H41" t="s">
        <v>51</v>
      </c>
      <c r="I41" t="s">
        <v>41</v>
      </c>
      <c r="J41">
        <v>616860411</v>
      </c>
      <c r="K41" t="s">
        <v>46</v>
      </c>
      <c r="L41" t="s">
        <v>1020</v>
      </c>
      <c r="M41" s="1">
        <f>Data_Caso_Propuesto[[#This Row],[Precio]]</f>
        <v>616860411</v>
      </c>
      <c r="N41" s="1" t="str">
        <f>IFERROR(Data_Caso_Propuesto[[#This Row],[Precio]]/Data_Caso_Propuesto[[#This Row],[Area Terreno]],"")</f>
        <v/>
      </c>
      <c r="O41" s="1" t="str">
        <f>IFERROR((Data_Caso_Propuesto[[#This Row],[Precio]]/Data_Caso_Propuesto[[#This Row],[Area Terreno]])/1000000,"")</f>
        <v/>
      </c>
      <c r="P41" s="1"/>
    </row>
    <row r="42" spans="1:16" x14ac:dyDescent="0.25">
      <c r="A42" t="s">
        <v>116</v>
      </c>
      <c r="B42" t="s">
        <v>48</v>
      </c>
      <c r="C42" t="s">
        <v>49</v>
      </c>
      <c r="D42" t="s">
        <v>15</v>
      </c>
      <c r="E42" t="s">
        <v>117</v>
      </c>
      <c r="F42" s="3" t="s">
        <v>16</v>
      </c>
      <c r="G42" s="3" t="s">
        <v>16</v>
      </c>
      <c r="H42" t="s">
        <v>51</v>
      </c>
      <c r="I42" t="s">
        <v>41</v>
      </c>
      <c r="J42">
        <v>610203893</v>
      </c>
      <c r="K42" t="s">
        <v>46</v>
      </c>
      <c r="L42" t="s">
        <v>1021</v>
      </c>
      <c r="M42" s="1">
        <f>Data_Caso_Propuesto[[#This Row],[Precio]]</f>
        <v>610203893</v>
      </c>
      <c r="N42" s="1" t="str">
        <f>IFERROR(Data_Caso_Propuesto[[#This Row],[Precio]]/Data_Caso_Propuesto[[#This Row],[Area Terreno]],"")</f>
        <v/>
      </c>
      <c r="O42" s="1" t="str">
        <f>IFERROR((Data_Caso_Propuesto[[#This Row],[Precio]]/Data_Caso_Propuesto[[#This Row],[Area Terreno]])/1000000,"")</f>
        <v/>
      </c>
      <c r="P42" s="1"/>
    </row>
    <row r="43" spans="1:16" x14ac:dyDescent="0.25">
      <c r="A43" t="s">
        <v>118</v>
      </c>
      <c r="B43" t="s">
        <v>48</v>
      </c>
      <c r="C43" t="s">
        <v>49</v>
      </c>
      <c r="D43" t="s">
        <v>15</v>
      </c>
      <c r="E43" t="s">
        <v>119</v>
      </c>
      <c r="F43" s="3" t="s">
        <v>16</v>
      </c>
      <c r="G43" s="3" t="s">
        <v>16</v>
      </c>
      <c r="H43" t="s">
        <v>51</v>
      </c>
      <c r="I43" t="s">
        <v>41</v>
      </c>
      <c r="J43">
        <v>591399414</v>
      </c>
      <c r="K43" t="s">
        <v>46</v>
      </c>
      <c r="L43" t="s">
        <v>120</v>
      </c>
      <c r="M43" s="1">
        <f>Data_Caso_Propuesto[[#This Row],[Precio]]</f>
        <v>591399414</v>
      </c>
      <c r="N43" s="1" t="str">
        <f>IFERROR(Data_Caso_Propuesto[[#This Row],[Precio]]/Data_Caso_Propuesto[[#This Row],[Area Terreno]],"")</f>
        <v/>
      </c>
      <c r="O43" s="1" t="str">
        <f>IFERROR((Data_Caso_Propuesto[[#This Row],[Precio]]/Data_Caso_Propuesto[[#This Row],[Area Terreno]])/1000000,"")</f>
        <v/>
      </c>
      <c r="P43" s="1"/>
    </row>
    <row r="44" spans="1:16" x14ac:dyDescent="0.25">
      <c r="A44" t="s">
        <v>121</v>
      </c>
      <c r="B44" t="s">
        <v>48</v>
      </c>
      <c r="C44" t="s">
        <v>49</v>
      </c>
      <c r="D44" t="s">
        <v>15</v>
      </c>
      <c r="E44" t="s">
        <v>122</v>
      </c>
      <c r="F44" s="3" t="s">
        <v>16</v>
      </c>
      <c r="G44" s="3" t="s">
        <v>16</v>
      </c>
      <c r="H44" t="s">
        <v>51</v>
      </c>
      <c r="I44" t="s">
        <v>41</v>
      </c>
      <c r="J44">
        <v>589300353</v>
      </c>
      <c r="K44" t="s">
        <v>46</v>
      </c>
      <c r="L44" t="s">
        <v>120</v>
      </c>
      <c r="M44" s="1">
        <f>Data_Caso_Propuesto[[#This Row],[Precio]]</f>
        <v>589300353</v>
      </c>
      <c r="N44" s="1" t="str">
        <f>IFERROR(Data_Caso_Propuesto[[#This Row],[Precio]]/Data_Caso_Propuesto[[#This Row],[Area Terreno]],"")</f>
        <v/>
      </c>
      <c r="O44" s="1" t="str">
        <f>IFERROR((Data_Caso_Propuesto[[#This Row],[Precio]]/Data_Caso_Propuesto[[#This Row],[Area Terreno]])/1000000,"")</f>
        <v/>
      </c>
      <c r="P44" s="1"/>
    </row>
    <row r="45" spans="1:16" x14ac:dyDescent="0.25">
      <c r="A45" t="s">
        <v>123</v>
      </c>
      <c r="B45" t="s">
        <v>124</v>
      </c>
      <c r="C45" t="s">
        <v>49</v>
      </c>
      <c r="D45" t="s">
        <v>15</v>
      </c>
      <c r="E45" t="s">
        <v>1022</v>
      </c>
      <c r="F45" s="3" t="s">
        <v>16</v>
      </c>
      <c r="G45" s="3" t="s">
        <v>16</v>
      </c>
      <c r="H45" t="s">
        <v>51</v>
      </c>
      <c r="I45" t="s">
        <v>18</v>
      </c>
      <c r="J45">
        <v>552796000</v>
      </c>
      <c r="K45" t="s">
        <v>125</v>
      </c>
      <c r="L45" t="s">
        <v>1023</v>
      </c>
      <c r="M45" s="1">
        <f>Data_Caso_Propuesto[[#This Row],[Precio]]</f>
        <v>552796000</v>
      </c>
      <c r="N45" s="1" t="str">
        <f>IFERROR(Data_Caso_Propuesto[[#This Row],[Precio]]/Data_Caso_Propuesto[[#This Row],[Area Terreno]],"")</f>
        <v/>
      </c>
      <c r="O45" s="1" t="str">
        <f>IFERROR((Data_Caso_Propuesto[[#This Row],[Precio]]/Data_Caso_Propuesto[[#This Row],[Area Terreno]])/1000000,"")</f>
        <v/>
      </c>
      <c r="P45" s="1"/>
    </row>
    <row r="46" spans="1:16" x14ac:dyDescent="0.25">
      <c r="A46" t="s">
        <v>126</v>
      </c>
      <c r="B46" t="s">
        <v>127</v>
      </c>
      <c r="C46" t="s">
        <v>28</v>
      </c>
      <c r="D46" t="s">
        <v>15</v>
      </c>
      <c r="E46" t="s">
        <v>1024</v>
      </c>
      <c r="F46" s="3" t="s">
        <v>16</v>
      </c>
      <c r="G46" s="3" t="s">
        <v>16</v>
      </c>
      <c r="H46" t="s">
        <v>51</v>
      </c>
      <c r="I46" t="s">
        <v>81</v>
      </c>
      <c r="J46">
        <v>550361250</v>
      </c>
      <c r="K46" t="s">
        <v>94</v>
      </c>
      <c r="L46" t="s">
        <v>15</v>
      </c>
      <c r="M46" s="1">
        <f>Data_Caso_Propuesto[[#This Row],[Precio]]</f>
        <v>550361250</v>
      </c>
      <c r="N46" s="1" t="str">
        <f>IFERROR(Data_Caso_Propuesto[[#This Row],[Precio]]/Data_Caso_Propuesto[[#This Row],[Area Terreno]],"")</f>
        <v/>
      </c>
      <c r="O46" s="1" t="str">
        <f>IFERROR((Data_Caso_Propuesto[[#This Row],[Precio]]/Data_Caso_Propuesto[[#This Row],[Area Terreno]])/1000000,"")</f>
        <v/>
      </c>
      <c r="P46" s="1"/>
    </row>
    <row r="47" spans="1:16" x14ac:dyDescent="0.25">
      <c r="A47" t="s">
        <v>128</v>
      </c>
      <c r="B47" t="s">
        <v>129</v>
      </c>
      <c r="C47" t="s">
        <v>130</v>
      </c>
      <c r="D47" t="s">
        <v>15</v>
      </c>
      <c r="E47" t="s">
        <v>1025</v>
      </c>
      <c r="F47" s="3" t="s">
        <v>16</v>
      </c>
      <c r="G47" s="3" t="s">
        <v>16</v>
      </c>
      <c r="H47" t="s">
        <v>51</v>
      </c>
      <c r="I47" t="s">
        <v>72</v>
      </c>
      <c r="J47">
        <v>535670500</v>
      </c>
      <c r="K47" t="s">
        <v>94</v>
      </c>
      <c r="L47" t="s">
        <v>15</v>
      </c>
      <c r="M47" s="1">
        <f>Data_Caso_Propuesto[[#This Row],[Precio]]</f>
        <v>535670500</v>
      </c>
      <c r="N47" s="1" t="str">
        <f>IFERROR(Data_Caso_Propuesto[[#This Row],[Precio]]/Data_Caso_Propuesto[[#This Row],[Area Terreno]],"")</f>
        <v/>
      </c>
      <c r="O47" s="1" t="str">
        <f>IFERROR((Data_Caso_Propuesto[[#This Row],[Precio]]/Data_Caso_Propuesto[[#This Row],[Area Terreno]])/1000000,"")</f>
        <v/>
      </c>
      <c r="P47" s="1"/>
    </row>
    <row r="48" spans="1:16" x14ac:dyDescent="0.25">
      <c r="A48" t="s">
        <v>131</v>
      </c>
      <c r="B48" t="s">
        <v>129</v>
      </c>
      <c r="C48" t="s">
        <v>130</v>
      </c>
      <c r="D48" t="s">
        <v>15</v>
      </c>
      <c r="E48" t="s">
        <v>1026</v>
      </c>
      <c r="F48" s="3" t="s">
        <v>16</v>
      </c>
      <c r="G48" s="3" t="s">
        <v>16</v>
      </c>
      <c r="H48" t="s">
        <v>51</v>
      </c>
      <c r="I48" t="s">
        <v>31</v>
      </c>
      <c r="J48">
        <v>514454000</v>
      </c>
      <c r="K48" t="s">
        <v>94</v>
      </c>
      <c r="L48" t="s">
        <v>132</v>
      </c>
      <c r="M48" s="1">
        <f>Data_Caso_Propuesto[[#This Row],[Precio]]</f>
        <v>514454000</v>
      </c>
      <c r="N48" s="1" t="str">
        <f>IFERROR(Data_Caso_Propuesto[[#This Row],[Precio]]/Data_Caso_Propuesto[[#This Row],[Area Terreno]],"")</f>
        <v/>
      </c>
      <c r="O48" s="1" t="str">
        <f>IFERROR((Data_Caso_Propuesto[[#This Row],[Precio]]/Data_Caso_Propuesto[[#This Row],[Area Terreno]])/1000000,"")</f>
        <v/>
      </c>
      <c r="P48" s="1"/>
    </row>
    <row r="49" spans="1:16" x14ac:dyDescent="0.25">
      <c r="A49" t="s">
        <v>133</v>
      </c>
      <c r="B49" t="s">
        <v>134</v>
      </c>
      <c r="C49" t="s">
        <v>49</v>
      </c>
      <c r="D49" t="s">
        <v>15</v>
      </c>
      <c r="E49" t="s">
        <v>1027</v>
      </c>
      <c r="F49" s="3" t="s">
        <v>16</v>
      </c>
      <c r="G49" s="3" t="s">
        <v>16</v>
      </c>
      <c r="H49" t="s">
        <v>51</v>
      </c>
      <c r="I49" t="s">
        <v>18</v>
      </c>
      <c r="J49">
        <v>513681000</v>
      </c>
      <c r="K49" t="s">
        <v>62</v>
      </c>
      <c r="L49" t="s">
        <v>1028</v>
      </c>
      <c r="M49" s="1">
        <f>Data_Caso_Propuesto[[#This Row],[Precio]]</f>
        <v>513681000</v>
      </c>
      <c r="N49" s="1" t="str">
        <f>IFERROR(Data_Caso_Propuesto[[#This Row],[Precio]]/Data_Caso_Propuesto[[#This Row],[Area Terreno]],"")</f>
        <v/>
      </c>
      <c r="O49" s="1" t="str">
        <f>IFERROR((Data_Caso_Propuesto[[#This Row],[Precio]]/Data_Caso_Propuesto[[#This Row],[Area Terreno]])/1000000,"")</f>
        <v/>
      </c>
      <c r="P49" s="1"/>
    </row>
    <row r="50" spans="1:16" x14ac:dyDescent="0.25">
      <c r="A50" t="s">
        <v>135</v>
      </c>
      <c r="B50" t="s">
        <v>13</v>
      </c>
      <c r="C50" t="s">
        <v>14</v>
      </c>
      <c r="D50" t="s">
        <v>15</v>
      </c>
      <c r="E50" t="s">
        <v>1029</v>
      </c>
      <c r="F50" s="3" t="s">
        <v>16</v>
      </c>
      <c r="G50" s="3" t="s">
        <v>16</v>
      </c>
      <c r="H50" t="s">
        <v>51</v>
      </c>
      <c r="I50" t="s">
        <v>18</v>
      </c>
      <c r="J50">
        <v>503871960</v>
      </c>
      <c r="K50" t="s">
        <v>136</v>
      </c>
      <c r="L50" t="s">
        <v>15</v>
      </c>
      <c r="M50" s="1">
        <f>Data_Caso_Propuesto[[#This Row],[Precio]]</f>
        <v>503871960</v>
      </c>
      <c r="N50" s="1" t="str">
        <f>IFERROR(Data_Caso_Propuesto[[#This Row],[Precio]]/Data_Caso_Propuesto[[#This Row],[Area Terreno]],"")</f>
        <v/>
      </c>
      <c r="O50" s="1" t="str">
        <f>IFERROR((Data_Caso_Propuesto[[#This Row],[Precio]]/Data_Caso_Propuesto[[#This Row],[Area Terreno]])/1000000,"")</f>
        <v/>
      </c>
      <c r="P50" s="1"/>
    </row>
    <row r="51" spans="1:16" x14ac:dyDescent="0.25">
      <c r="A51" t="s">
        <v>137</v>
      </c>
      <c r="B51" t="s">
        <v>138</v>
      </c>
      <c r="C51" t="s">
        <v>139</v>
      </c>
      <c r="D51" t="s">
        <v>15</v>
      </c>
      <c r="E51" t="s">
        <v>140</v>
      </c>
      <c r="F51" s="3" t="s">
        <v>16</v>
      </c>
      <c r="G51" s="3" t="s">
        <v>16</v>
      </c>
      <c r="H51" t="s">
        <v>17</v>
      </c>
      <c r="I51" t="s">
        <v>23</v>
      </c>
      <c r="J51">
        <v>19522132996</v>
      </c>
      <c r="K51" t="s">
        <v>73</v>
      </c>
      <c r="L51" t="s">
        <v>141</v>
      </c>
      <c r="M51" s="1">
        <f>Data_Caso_Propuesto[[#This Row],[Precio]]</f>
        <v>19522132996</v>
      </c>
      <c r="N51" s="1" t="str">
        <f>IFERROR(Data_Caso_Propuesto[[#This Row],[Precio]]/Data_Caso_Propuesto[[#This Row],[Area Terreno]],"")</f>
        <v/>
      </c>
      <c r="O51" s="1" t="str">
        <f>IFERROR((Data_Caso_Propuesto[[#This Row],[Precio]]/Data_Caso_Propuesto[[#This Row],[Area Terreno]])/1000000,"")</f>
        <v/>
      </c>
      <c r="P51" s="1"/>
    </row>
    <row r="52" spans="1:16" x14ac:dyDescent="0.25">
      <c r="A52" t="s">
        <v>146</v>
      </c>
      <c r="B52" t="s">
        <v>13</v>
      </c>
      <c r="C52" t="s">
        <v>14</v>
      </c>
      <c r="D52" t="s">
        <v>15</v>
      </c>
      <c r="E52" t="s">
        <v>147</v>
      </c>
      <c r="F52" s="3" t="s">
        <v>16</v>
      </c>
      <c r="G52" s="3" t="s">
        <v>16</v>
      </c>
      <c r="H52" t="s">
        <v>25</v>
      </c>
      <c r="I52" t="s">
        <v>23</v>
      </c>
      <c r="J52">
        <v>466226810</v>
      </c>
      <c r="K52" t="s">
        <v>102</v>
      </c>
      <c r="L52" t="s">
        <v>15</v>
      </c>
      <c r="M52" s="1">
        <f>Data_Caso_Propuesto[[#This Row],[Precio]]</f>
        <v>466226810</v>
      </c>
      <c r="N52" s="1" t="str">
        <f>IFERROR(Data_Caso_Propuesto[[#This Row],[Precio]]/Data_Caso_Propuesto[[#This Row],[Area Terreno]],"")</f>
        <v/>
      </c>
      <c r="O52" s="1" t="str">
        <f>IFERROR((Data_Caso_Propuesto[[#This Row],[Precio]]/Data_Caso_Propuesto[[#This Row],[Area Terreno]])/1000000,"")</f>
        <v/>
      </c>
      <c r="P52" s="1"/>
    </row>
    <row r="53" spans="1:16" x14ac:dyDescent="0.25">
      <c r="A53" t="s">
        <v>148</v>
      </c>
      <c r="B53" t="s">
        <v>70</v>
      </c>
      <c r="C53" t="s">
        <v>71</v>
      </c>
      <c r="D53" t="s">
        <v>149</v>
      </c>
      <c r="E53" t="s">
        <v>1030</v>
      </c>
      <c r="F53" s="3" t="s">
        <v>16</v>
      </c>
      <c r="G53" s="3" t="s">
        <v>16</v>
      </c>
      <c r="H53" t="s">
        <v>17</v>
      </c>
      <c r="I53" t="s">
        <v>31</v>
      </c>
      <c r="J53">
        <v>4546891164</v>
      </c>
      <c r="K53" t="s">
        <v>68</v>
      </c>
      <c r="L53" t="s">
        <v>15</v>
      </c>
      <c r="M53" s="1">
        <f>Data_Caso_Propuesto[[#This Row],[Precio]]</f>
        <v>4546891164</v>
      </c>
      <c r="N53" s="1" t="str">
        <f>IFERROR(Data_Caso_Propuesto[[#This Row],[Precio]]/Data_Caso_Propuesto[[#This Row],[Area Terreno]],"")</f>
        <v/>
      </c>
      <c r="O53" s="1" t="str">
        <f>IFERROR((Data_Caso_Propuesto[[#This Row],[Precio]]/Data_Caso_Propuesto[[#This Row],[Area Terreno]])/1000000,"")</f>
        <v/>
      </c>
      <c r="P53" s="1"/>
    </row>
    <row r="54" spans="1:16" x14ac:dyDescent="0.25">
      <c r="A54" t="s">
        <v>150</v>
      </c>
      <c r="B54" t="s">
        <v>127</v>
      </c>
      <c r="C54" t="s">
        <v>28</v>
      </c>
      <c r="D54" t="s">
        <v>15</v>
      </c>
      <c r="E54" t="s">
        <v>1031</v>
      </c>
      <c r="F54" s="3" t="s">
        <v>16</v>
      </c>
      <c r="G54" s="3" t="s">
        <v>16</v>
      </c>
      <c r="H54" t="s">
        <v>51</v>
      </c>
      <c r="I54" t="s">
        <v>18</v>
      </c>
      <c r="J54">
        <v>453180000</v>
      </c>
      <c r="K54" t="s">
        <v>94</v>
      </c>
      <c r="L54" t="s">
        <v>1032</v>
      </c>
      <c r="M54" s="1">
        <f>Data_Caso_Propuesto[[#This Row],[Precio]]</f>
        <v>453180000</v>
      </c>
      <c r="N54" s="1" t="str">
        <f>IFERROR(Data_Caso_Propuesto[[#This Row],[Precio]]/Data_Caso_Propuesto[[#This Row],[Area Terreno]],"")</f>
        <v/>
      </c>
      <c r="O54" s="1" t="str">
        <f>IFERROR((Data_Caso_Propuesto[[#This Row],[Precio]]/Data_Caso_Propuesto[[#This Row],[Area Terreno]])/1000000,"")</f>
        <v/>
      </c>
      <c r="P54" s="1"/>
    </row>
    <row r="55" spans="1:16" x14ac:dyDescent="0.25">
      <c r="A55" t="s">
        <v>151</v>
      </c>
      <c r="B55" t="s">
        <v>152</v>
      </c>
      <c r="C55" t="s">
        <v>76</v>
      </c>
      <c r="D55" t="s">
        <v>15</v>
      </c>
      <c r="E55" t="s">
        <v>1033</v>
      </c>
      <c r="F55" s="3" t="s">
        <v>16</v>
      </c>
      <c r="G55" s="3" t="s">
        <v>16</v>
      </c>
      <c r="H55" t="s">
        <v>17</v>
      </c>
      <c r="I55" t="s">
        <v>18</v>
      </c>
      <c r="J55">
        <v>447827419</v>
      </c>
      <c r="K55" t="s">
        <v>68</v>
      </c>
      <c r="L55" t="s">
        <v>1034</v>
      </c>
      <c r="M55" s="1">
        <f>Data_Caso_Propuesto[[#This Row],[Precio]]</f>
        <v>447827419</v>
      </c>
      <c r="N55" s="1" t="str">
        <f>IFERROR(Data_Caso_Propuesto[[#This Row],[Precio]]/Data_Caso_Propuesto[[#This Row],[Area Terreno]],"")</f>
        <v/>
      </c>
      <c r="O55" s="1" t="str">
        <f>IFERROR((Data_Caso_Propuesto[[#This Row],[Precio]]/Data_Caso_Propuesto[[#This Row],[Area Terreno]])/1000000,"")</f>
        <v/>
      </c>
      <c r="P55" s="1"/>
    </row>
    <row r="56" spans="1:16" x14ac:dyDescent="0.25">
      <c r="A56" t="s">
        <v>153</v>
      </c>
      <c r="B56" t="s">
        <v>13</v>
      </c>
      <c r="C56" t="s">
        <v>14</v>
      </c>
      <c r="D56" t="s">
        <v>15</v>
      </c>
      <c r="E56" t="s">
        <v>1035</v>
      </c>
      <c r="F56" s="3" t="s">
        <v>16</v>
      </c>
      <c r="G56" s="3" t="s">
        <v>16</v>
      </c>
      <c r="H56" t="s">
        <v>17</v>
      </c>
      <c r="I56" t="s">
        <v>31</v>
      </c>
      <c r="J56">
        <v>1448241600</v>
      </c>
      <c r="K56" t="s">
        <v>94</v>
      </c>
      <c r="L56" t="s">
        <v>15</v>
      </c>
      <c r="M56" s="1">
        <f>Data_Caso_Propuesto[[#This Row],[Precio]]</f>
        <v>1448241600</v>
      </c>
      <c r="N56" s="1" t="str">
        <f>IFERROR(Data_Caso_Propuesto[[#This Row],[Precio]]/Data_Caso_Propuesto[[#This Row],[Area Terreno]],"")</f>
        <v/>
      </c>
      <c r="O56" s="1" t="str">
        <f>IFERROR((Data_Caso_Propuesto[[#This Row],[Precio]]/Data_Caso_Propuesto[[#This Row],[Area Terreno]])/1000000,"")</f>
        <v/>
      </c>
      <c r="P56" s="1"/>
    </row>
    <row r="57" spans="1:16" x14ac:dyDescent="0.25">
      <c r="A57" t="s">
        <v>154</v>
      </c>
      <c r="B57" t="s">
        <v>155</v>
      </c>
      <c r="C57" t="s">
        <v>156</v>
      </c>
      <c r="D57" t="s">
        <v>29</v>
      </c>
      <c r="E57" t="s">
        <v>157</v>
      </c>
      <c r="F57" s="3" t="s">
        <v>16</v>
      </c>
      <c r="G57" s="3" t="s">
        <v>16</v>
      </c>
      <c r="H57" t="s">
        <v>17</v>
      </c>
      <c r="I57" t="s">
        <v>81</v>
      </c>
      <c r="J57">
        <v>730379000</v>
      </c>
      <c r="K57" t="s">
        <v>102</v>
      </c>
      <c r="L57" t="s">
        <v>158</v>
      </c>
      <c r="M57" s="1">
        <f>Data_Caso_Propuesto[[#This Row],[Precio]]</f>
        <v>730379000</v>
      </c>
      <c r="N57" s="1" t="str">
        <f>IFERROR(Data_Caso_Propuesto[[#This Row],[Precio]]/Data_Caso_Propuesto[[#This Row],[Area Terreno]],"")</f>
        <v/>
      </c>
      <c r="O57" s="1" t="str">
        <f>IFERROR((Data_Caso_Propuesto[[#This Row],[Precio]]/Data_Caso_Propuesto[[#This Row],[Area Terreno]])/1000000,"")</f>
        <v/>
      </c>
      <c r="P57" s="1"/>
    </row>
    <row r="58" spans="1:16" x14ac:dyDescent="0.25">
      <c r="A58" t="s">
        <v>159</v>
      </c>
      <c r="B58" t="s">
        <v>160</v>
      </c>
      <c r="C58" t="s">
        <v>130</v>
      </c>
      <c r="D58" t="s">
        <v>15</v>
      </c>
      <c r="E58" t="s">
        <v>161</v>
      </c>
      <c r="F58" s="3" t="s">
        <v>16</v>
      </c>
      <c r="G58" s="3" t="s">
        <v>16</v>
      </c>
      <c r="H58" t="s">
        <v>51</v>
      </c>
      <c r="I58" t="s">
        <v>41</v>
      </c>
      <c r="J58">
        <v>404780000</v>
      </c>
      <c r="K58" t="s">
        <v>73</v>
      </c>
      <c r="L58" t="s">
        <v>1036</v>
      </c>
      <c r="M58" s="1">
        <f>Data_Caso_Propuesto[[#This Row],[Precio]]</f>
        <v>404780000</v>
      </c>
      <c r="N58" s="1" t="str">
        <f>IFERROR(Data_Caso_Propuesto[[#This Row],[Precio]]/Data_Caso_Propuesto[[#This Row],[Area Terreno]],"")</f>
        <v/>
      </c>
      <c r="O58" s="1" t="str">
        <f>IFERROR((Data_Caso_Propuesto[[#This Row],[Precio]]/Data_Caso_Propuesto[[#This Row],[Area Terreno]])/1000000,"")</f>
        <v/>
      </c>
      <c r="P58" s="1"/>
    </row>
    <row r="59" spans="1:16" x14ac:dyDescent="0.25">
      <c r="A59" t="s">
        <v>162</v>
      </c>
      <c r="B59" t="s">
        <v>129</v>
      </c>
      <c r="C59" t="s">
        <v>130</v>
      </c>
      <c r="D59" t="s">
        <v>15</v>
      </c>
      <c r="E59" t="s">
        <v>163</v>
      </c>
      <c r="F59" s="3" t="s">
        <v>16</v>
      </c>
      <c r="G59" s="3" t="s">
        <v>16</v>
      </c>
      <c r="H59" t="s">
        <v>51</v>
      </c>
      <c r="I59" t="s">
        <v>41</v>
      </c>
      <c r="J59">
        <v>392665000</v>
      </c>
      <c r="K59" t="s">
        <v>73</v>
      </c>
      <c r="L59" t="s">
        <v>164</v>
      </c>
      <c r="M59" s="1">
        <f>Data_Caso_Propuesto[[#This Row],[Precio]]</f>
        <v>392665000</v>
      </c>
      <c r="N59" s="1" t="str">
        <f>IFERROR(Data_Caso_Propuesto[[#This Row],[Precio]]/Data_Caso_Propuesto[[#This Row],[Area Terreno]],"")</f>
        <v/>
      </c>
      <c r="O59" s="1" t="str">
        <f>IFERROR((Data_Caso_Propuesto[[#This Row],[Precio]]/Data_Caso_Propuesto[[#This Row],[Area Terreno]])/1000000,"")</f>
        <v/>
      </c>
      <c r="P59" s="1"/>
    </row>
    <row r="60" spans="1:16" x14ac:dyDescent="0.25">
      <c r="A60" t="s">
        <v>165</v>
      </c>
      <c r="B60" t="s">
        <v>166</v>
      </c>
      <c r="C60" t="s">
        <v>49</v>
      </c>
      <c r="D60" t="s">
        <v>15</v>
      </c>
      <c r="E60" t="s">
        <v>167</v>
      </c>
      <c r="F60" s="3" t="s">
        <v>16</v>
      </c>
      <c r="G60" s="3" t="s">
        <v>16</v>
      </c>
      <c r="H60" t="s">
        <v>51</v>
      </c>
      <c r="I60" t="s">
        <v>41</v>
      </c>
      <c r="J60">
        <v>389433000</v>
      </c>
      <c r="K60" t="s">
        <v>46</v>
      </c>
      <c r="L60" t="s">
        <v>168</v>
      </c>
      <c r="M60" s="1">
        <f>Data_Caso_Propuesto[[#This Row],[Precio]]</f>
        <v>389433000</v>
      </c>
      <c r="N60" s="1" t="str">
        <f>IFERROR(Data_Caso_Propuesto[[#This Row],[Precio]]/Data_Caso_Propuesto[[#This Row],[Area Terreno]],"")</f>
        <v/>
      </c>
      <c r="O60" s="1" t="str">
        <f>IFERROR((Data_Caso_Propuesto[[#This Row],[Precio]]/Data_Caso_Propuesto[[#This Row],[Area Terreno]])/1000000,"")</f>
        <v/>
      </c>
      <c r="P60" s="1"/>
    </row>
    <row r="61" spans="1:16" x14ac:dyDescent="0.25">
      <c r="A61" t="s">
        <v>169</v>
      </c>
      <c r="B61" t="s">
        <v>170</v>
      </c>
      <c r="C61" t="s">
        <v>28</v>
      </c>
      <c r="D61" t="s">
        <v>15</v>
      </c>
      <c r="E61" t="s">
        <v>1037</v>
      </c>
      <c r="F61" s="3" t="s">
        <v>16</v>
      </c>
      <c r="G61" s="3" t="s">
        <v>16</v>
      </c>
      <c r="H61" t="s">
        <v>17</v>
      </c>
      <c r="I61" t="s">
        <v>23</v>
      </c>
      <c r="J61">
        <v>682988850</v>
      </c>
      <c r="K61" t="s">
        <v>24</v>
      </c>
      <c r="L61" t="s">
        <v>15</v>
      </c>
      <c r="M61" s="1">
        <f>Data_Caso_Propuesto[[#This Row],[Precio]]</f>
        <v>682988850</v>
      </c>
      <c r="N61" s="1" t="str">
        <f>IFERROR(Data_Caso_Propuesto[[#This Row],[Precio]]/Data_Caso_Propuesto[[#This Row],[Area Terreno]],"")</f>
        <v/>
      </c>
      <c r="O61" s="1" t="str">
        <f>IFERROR((Data_Caso_Propuesto[[#This Row],[Precio]]/Data_Caso_Propuesto[[#This Row],[Area Terreno]])/1000000,"")</f>
        <v/>
      </c>
      <c r="P61" s="1"/>
    </row>
    <row r="62" spans="1:16" x14ac:dyDescent="0.25">
      <c r="A62" t="s">
        <v>171</v>
      </c>
      <c r="B62" t="s">
        <v>89</v>
      </c>
      <c r="C62" t="s">
        <v>49</v>
      </c>
      <c r="D62" t="s">
        <v>15</v>
      </c>
      <c r="E62" t="s">
        <v>1038</v>
      </c>
      <c r="F62" s="3" t="s">
        <v>16</v>
      </c>
      <c r="G62" s="3" t="s">
        <v>16</v>
      </c>
      <c r="H62" t="s">
        <v>77</v>
      </c>
      <c r="I62" t="s">
        <v>23</v>
      </c>
      <c r="J62">
        <v>691426800</v>
      </c>
      <c r="K62" t="s">
        <v>136</v>
      </c>
      <c r="L62" t="s">
        <v>1039</v>
      </c>
      <c r="M62" s="1">
        <f>Data_Caso_Propuesto[[#This Row],[Precio]]</f>
        <v>691426800</v>
      </c>
      <c r="N62" s="1" t="str">
        <f>IFERROR(Data_Caso_Propuesto[[#This Row],[Precio]]/Data_Caso_Propuesto[[#This Row],[Area Terreno]],"")</f>
        <v/>
      </c>
      <c r="O62" s="1" t="str">
        <f>IFERROR((Data_Caso_Propuesto[[#This Row],[Precio]]/Data_Caso_Propuesto[[#This Row],[Area Terreno]])/1000000,"")</f>
        <v/>
      </c>
      <c r="P62" s="1"/>
    </row>
    <row r="63" spans="1:16" x14ac:dyDescent="0.25">
      <c r="A63" t="s">
        <v>174</v>
      </c>
      <c r="B63" t="s">
        <v>89</v>
      </c>
      <c r="C63" t="s">
        <v>49</v>
      </c>
      <c r="D63" t="s">
        <v>15</v>
      </c>
      <c r="E63" t="s">
        <v>1040</v>
      </c>
      <c r="F63" s="3" t="s">
        <v>16</v>
      </c>
      <c r="G63" s="3" t="s">
        <v>16</v>
      </c>
      <c r="H63" t="s">
        <v>25</v>
      </c>
      <c r="I63" t="s">
        <v>72</v>
      </c>
      <c r="J63">
        <v>268847500</v>
      </c>
      <c r="K63" t="s">
        <v>136</v>
      </c>
      <c r="L63" t="s">
        <v>1041</v>
      </c>
      <c r="M63" s="1">
        <f>Data_Caso_Propuesto[[#This Row],[Precio]]</f>
        <v>268847500</v>
      </c>
      <c r="N63" s="1" t="str">
        <f>IFERROR(Data_Caso_Propuesto[[#This Row],[Precio]]/Data_Caso_Propuesto[[#This Row],[Area Terreno]],"")</f>
        <v/>
      </c>
      <c r="O63" s="1" t="str">
        <f>IFERROR((Data_Caso_Propuesto[[#This Row],[Precio]]/Data_Caso_Propuesto[[#This Row],[Area Terreno]])/1000000,"")</f>
        <v/>
      </c>
      <c r="P63" s="1"/>
    </row>
    <row r="64" spans="1:16" x14ac:dyDescent="0.25">
      <c r="A64" t="s">
        <v>175</v>
      </c>
      <c r="B64" t="s">
        <v>127</v>
      </c>
      <c r="C64" t="s">
        <v>28</v>
      </c>
      <c r="D64" t="s">
        <v>15</v>
      </c>
      <c r="E64" t="s">
        <v>1042</v>
      </c>
      <c r="F64" s="3" t="s">
        <v>16</v>
      </c>
      <c r="G64" s="3" t="s">
        <v>16</v>
      </c>
      <c r="H64" t="s">
        <v>51</v>
      </c>
      <c r="I64" t="s">
        <v>176</v>
      </c>
      <c r="J64">
        <v>268574800</v>
      </c>
      <c r="K64" t="s">
        <v>94</v>
      </c>
      <c r="L64" t="s">
        <v>132</v>
      </c>
      <c r="M64" s="1">
        <f>Data_Caso_Propuesto[[#This Row],[Precio]]</f>
        <v>268574800</v>
      </c>
      <c r="N64" s="1" t="str">
        <f>IFERROR(Data_Caso_Propuesto[[#This Row],[Precio]]/Data_Caso_Propuesto[[#This Row],[Area Terreno]],"")</f>
        <v/>
      </c>
      <c r="O64" s="1" t="str">
        <f>IFERROR((Data_Caso_Propuesto[[#This Row],[Precio]]/Data_Caso_Propuesto[[#This Row],[Area Terreno]])/1000000,"")</f>
        <v/>
      </c>
      <c r="P64" s="1"/>
    </row>
    <row r="65" spans="1:16" x14ac:dyDescent="0.25">
      <c r="A65" t="s">
        <v>177</v>
      </c>
      <c r="B65" t="s">
        <v>13</v>
      </c>
      <c r="C65" t="s">
        <v>14</v>
      </c>
      <c r="D65" t="s">
        <v>15</v>
      </c>
      <c r="E65" t="s">
        <v>1043</v>
      </c>
      <c r="F65" s="3" t="s">
        <v>16</v>
      </c>
      <c r="G65" s="3" t="s">
        <v>16</v>
      </c>
      <c r="H65" t="s">
        <v>17</v>
      </c>
      <c r="I65" t="s">
        <v>64</v>
      </c>
      <c r="J65">
        <v>428457000</v>
      </c>
      <c r="K65" t="s">
        <v>65</v>
      </c>
      <c r="L65" t="s">
        <v>1044</v>
      </c>
      <c r="M65" s="1">
        <f>Data_Caso_Propuesto[[#This Row],[Precio]]</f>
        <v>428457000</v>
      </c>
      <c r="N65" s="1" t="str">
        <f>IFERROR(Data_Caso_Propuesto[[#This Row],[Precio]]/Data_Caso_Propuesto[[#This Row],[Area Terreno]],"")</f>
        <v/>
      </c>
      <c r="O65" s="1" t="str">
        <f>IFERROR((Data_Caso_Propuesto[[#This Row],[Precio]]/Data_Caso_Propuesto[[#This Row],[Area Terreno]])/1000000,"")</f>
        <v/>
      </c>
      <c r="P65" s="1"/>
    </row>
    <row r="66" spans="1:16" x14ac:dyDescent="0.25">
      <c r="A66" t="s">
        <v>178</v>
      </c>
      <c r="B66" t="s">
        <v>129</v>
      </c>
      <c r="C66" t="s">
        <v>130</v>
      </c>
      <c r="D66" t="s">
        <v>15</v>
      </c>
      <c r="E66" t="s">
        <v>179</v>
      </c>
      <c r="F66" s="3" t="s">
        <v>16</v>
      </c>
      <c r="G66" s="3" t="s">
        <v>16</v>
      </c>
      <c r="H66" t="s">
        <v>51</v>
      </c>
      <c r="I66" t="s">
        <v>41</v>
      </c>
      <c r="J66">
        <v>264330000</v>
      </c>
      <c r="K66" t="s">
        <v>73</v>
      </c>
      <c r="L66" t="s">
        <v>180</v>
      </c>
      <c r="M66" s="1">
        <f>Data_Caso_Propuesto[[#This Row],[Precio]]</f>
        <v>264330000</v>
      </c>
      <c r="N66" s="1" t="str">
        <f>IFERROR(Data_Caso_Propuesto[[#This Row],[Precio]]/Data_Caso_Propuesto[[#This Row],[Area Terreno]],"")</f>
        <v/>
      </c>
      <c r="O66" s="1" t="str">
        <f>IFERROR((Data_Caso_Propuesto[[#This Row],[Precio]]/Data_Caso_Propuesto[[#This Row],[Area Terreno]])/1000000,"")</f>
        <v/>
      </c>
      <c r="P66" s="1"/>
    </row>
    <row r="67" spans="1:16" x14ac:dyDescent="0.25">
      <c r="A67" t="s">
        <v>185</v>
      </c>
      <c r="B67" t="s">
        <v>89</v>
      </c>
      <c r="C67" t="s">
        <v>49</v>
      </c>
      <c r="D67" t="s">
        <v>15</v>
      </c>
      <c r="E67" t="s">
        <v>1045</v>
      </c>
      <c r="F67" s="3" t="s">
        <v>16</v>
      </c>
      <c r="G67" s="3" t="s">
        <v>16</v>
      </c>
      <c r="H67" t="s">
        <v>25</v>
      </c>
      <c r="I67" t="s">
        <v>72</v>
      </c>
      <c r="J67">
        <v>253872000</v>
      </c>
      <c r="K67" t="s">
        <v>136</v>
      </c>
      <c r="L67" t="s">
        <v>186</v>
      </c>
      <c r="M67" s="1">
        <f>Data_Caso_Propuesto[[#This Row],[Precio]]</f>
        <v>253872000</v>
      </c>
      <c r="N67" s="1" t="str">
        <f>IFERROR(Data_Caso_Propuesto[[#This Row],[Precio]]/Data_Caso_Propuesto[[#This Row],[Area Terreno]],"")</f>
        <v/>
      </c>
      <c r="O67" s="1" t="str">
        <f>IFERROR((Data_Caso_Propuesto[[#This Row],[Precio]]/Data_Caso_Propuesto[[#This Row],[Area Terreno]])/1000000,"")</f>
        <v/>
      </c>
      <c r="P67" s="1"/>
    </row>
    <row r="68" spans="1:16" x14ac:dyDescent="0.25">
      <c r="A68" t="s">
        <v>187</v>
      </c>
      <c r="B68" t="s">
        <v>188</v>
      </c>
      <c r="C68" t="s">
        <v>139</v>
      </c>
      <c r="D68" t="s">
        <v>189</v>
      </c>
      <c r="E68" t="s">
        <v>190</v>
      </c>
      <c r="F68" s="3" t="s">
        <v>16</v>
      </c>
      <c r="G68" s="3">
        <v>91.47</v>
      </c>
      <c r="H68" t="s">
        <v>17</v>
      </c>
      <c r="I68" t="s">
        <v>23</v>
      </c>
      <c r="J68">
        <v>837590790</v>
      </c>
      <c r="K68" t="s">
        <v>102</v>
      </c>
      <c r="L68" t="s">
        <v>1046</v>
      </c>
      <c r="M68" s="1">
        <f>Data_Caso_Propuesto[[#This Row],[Precio]]</f>
        <v>837590790</v>
      </c>
      <c r="N68" s="1" t="str">
        <f>IFERROR(Data_Caso_Propuesto[[#This Row],[Precio]]/Data_Caso_Propuesto[[#This Row],[Area Terreno]],"")</f>
        <v/>
      </c>
      <c r="O68" s="1" t="str">
        <f>IFERROR((Data_Caso_Propuesto[[#This Row],[Precio]]/Data_Caso_Propuesto[[#This Row],[Area Terreno]])/1000000,"")</f>
        <v/>
      </c>
      <c r="P68" s="1"/>
    </row>
    <row r="69" spans="1:16" x14ac:dyDescent="0.25">
      <c r="A69" t="s">
        <v>191</v>
      </c>
      <c r="B69" t="s">
        <v>48</v>
      </c>
      <c r="C69" t="s">
        <v>49</v>
      </c>
      <c r="D69" t="s">
        <v>15</v>
      </c>
      <c r="E69" t="s">
        <v>192</v>
      </c>
      <c r="F69" s="3" t="s">
        <v>16</v>
      </c>
      <c r="G69" s="3" t="s">
        <v>16</v>
      </c>
      <c r="H69" t="s">
        <v>51</v>
      </c>
      <c r="I69" t="s">
        <v>41</v>
      </c>
      <c r="J69">
        <v>230611914</v>
      </c>
      <c r="K69" t="s">
        <v>46</v>
      </c>
      <c r="L69" t="s">
        <v>1047</v>
      </c>
      <c r="M69" s="1">
        <f>Data_Caso_Propuesto[[#This Row],[Precio]]</f>
        <v>230611914</v>
      </c>
      <c r="N69" s="1" t="str">
        <f>IFERROR(Data_Caso_Propuesto[[#This Row],[Precio]]/Data_Caso_Propuesto[[#This Row],[Area Terreno]],"")</f>
        <v/>
      </c>
      <c r="O69" s="1" t="str">
        <f>IFERROR((Data_Caso_Propuesto[[#This Row],[Precio]]/Data_Caso_Propuesto[[#This Row],[Area Terreno]])/1000000,"")</f>
        <v/>
      </c>
      <c r="P69" s="1"/>
    </row>
    <row r="70" spans="1:16" x14ac:dyDescent="0.25">
      <c r="A70" t="s">
        <v>193</v>
      </c>
      <c r="B70" t="s">
        <v>166</v>
      </c>
      <c r="C70" t="s">
        <v>49</v>
      </c>
      <c r="D70" t="s">
        <v>15</v>
      </c>
      <c r="E70" t="s">
        <v>1048</v>
      </c>
      <c r="F70" s="3" t="s">
        <v>16</v>
      </c>
      <c r="G70" s="3" t="s">
        <v>16</v>
      </c>
      <c r="H70" t="s">
        <v>51</v>
      </c>
      <c r="I70" t="s">
        <v>176</v>
      </c>
      <c r="J70">
        <v>228904300</v>
      </c>
      <c r="K70" t="s">
        <v>94</v>
      </c>
      <c r="L70" t="s">
        <v>194</v>
      </c>
      <c r="M70" s="1">
        <f>Data_Caso_Propuesto[[#This Row],[Precio]]</f>
        <v>228904300</v>
      </c>
      <c r="N70" s="1" t="str">
        <f>IFERROR(Data_Caso_Propuesto[[#This Row],[Precio]]/Data_Caso_Propuesto[[#This Row],[Area Terreno]],"")</f>
        <v/>
      </c>
      <c r="O70" s="1" t="str">
        <f>IFERROR((Data_Caso_Propuesto[[#This Row],[Precio]]/Data_Caso_Propuesto[[#This Row],[Area Terreno]])/1000000,"")</f>
        <v/>
      </c>
      <c r="P70" s="1"/>
    </row>
    <row r="71" spans="1:16" x14ac:dyDescent="0.25">
      <c r="A71" t="s">
        <v>197</v>
      </c>
      <c r="B71" t="s">
        <v>155</v>
      </c>
      <c r="C71" t="s">
        <v>156</v>
      </c>
      <c r="D71" t="s">
        <v>15</v>
      </c>
      <c r="E71" t="s">
        <v>1049</v>
      </c>
      <c r="F71" s="3" t="s">
        <v>16</v>
      </c>
      <c r="G71" s="3" t="s">
        <v>16</v>
      </c>
      <c r="H71" t="s">
        <v>22</v>
      </c>
      <c r="I71" t="s">
        <v>64</v>
      </c>
      <c r="J71">
        <v>222132480</v>
      </c>
      <c r="K71" t="s">
        <v>136</v>
      </c>
      <c r="L71" t="s">
        <v>1050</v>
      </c>
      <c r="M71" s="1">
        <f>Data_Caso_Propuesto[[#This Row],[Precio]]</f>
        <v>222132480</v>
      </c>
      <c r="N71" s="1" t="str">
        <f>IFERROR(Data_Caso_Propuesto[[#This Row],[Precio]]/Data_Caso_Propuesto[[#This Row],[Area Terreno]],"")</f>
        <v/>
      </c>
      <c r="O71" s="1" t="str">
        <f>IFERROR((Data_Caso_Propuesto[[#This Row],[Precio]]/Data_Caso_Propuesto[[#This Row],[Area Terreno]])/1000000,"")</f>
        <v/>
      </c>
      <c r="P71" s="1"/>
    </row>
    <row r="72" spans="1:16" x14ac:dyDescent="0.25">
      <c r="A72" t="s">
        <v>197</v>
      </c>
      <c r="B72" t="s">
        <v>155</v>
      </c>
      <c r="C72" t="s">
        <v>156</v>
      </c>
      <c r="D72" t="s">
        <v>15</v>
      </c>
      <c r="E72" t="s">
        <v>1049</v>
      </c>
      <c r="F72" s="3" t="s">
        <v>16</v>
      </c>
      <c r="G72" s="3" t="s">
        <v>16</v>
      </c>
      <c r="H72" t="s">
        <v>25</v>
      </c>
      <c r="I72" t="s">
        <v>64</v>
      </c>
      <c r="J72">
        <v>222132480</v>
      </c>
      <c r="K72" t="s">
        <v>136</v>
      </c>
      <c r="L72" t="s">
        <v>1050</v>
      </c>
      <c r="M72" s="1">
        <f>Data_Caso_Propuesto[[#This Row],[Precio]]</f>
        <v>222132480</v>
      </c>
      <c r="N72" s="1" t="str">
        <f>IFERROR(Data_Caso_Propuesto[[#This Row],[Precio]]/Data_Caso_Propuesto[[#This Row],[Area Terreno]],"")</f>
        <v/>
      </c>
      <c r="O72" s="1" t="str">
        <f>IFERROR((Data_Caso_Propuesto[[#This Row],[Precio]]/Data_Caso_Propuesto[[#This Row],[Area Terreno]])/1000000,"")</f>
        <v/>
      </c>
      <c r="P72" s="1"/>
    </row>
    <row r="73" spans="1:16" x14ac:dyDescent="0.25">
      <c r="A73" t="s">
        <v>198</v>
      </c>
      <c r="B73" t="s">
        <v>199</v>
      </c>
      <c r="C73" t="s">
        <v>139</v>
      </c>
      <c r="D73" t="s">
        <v>15</v>
      </c>
      <c r="E73" t="s">
        <v>200</v>
      </c>
      <c r="F73" s="3" t="s">
        <v>16</v>
      </c>
      <c r="G73" s="3" t="s">
        <v>16</v>
      </c>
      <c r="H73" t="s">
        <v>51</v>
      </c>
      <c r="I73" t="s">
        <v>41</v>
      </c>
      <c r="J73">
        <v>214110000</v>
      </c>
      <c r="K73" t="s">
        <v>73</v>
      </c>
      <c r="L73" t="s">
        <v>201</v>
      </c>
      <c r="M73" s="1">
        <f>Data_Caso_Propuesto[[#This Row],[Precio]]</f>
        <v>214110000</v>
      </c>
      <c r="N73" s="1" t="str">
        <f>IFERROR(Data_Caso_Propuesto[[#This Row],[Precio]]/Data_Caso_Propuesto[[#This Row],[Area Terreno]],"")</f>
        <v/>
      </c>
      <c r="O73" s="1" t="str">
        <f>IFERROR((Data_Caso_Propuesto[[#This Row],[Precio]]/Data_Caso_Propuesto[[#This Row],[Area Terreno]])/1000000,"")</f>
        <v/>
      </c>
      <c r="P73" s="1"/>
    </row>
    <row r="74" spans="1:16" x14ac:dyDescent="0.25">
      <c r="A74" t="s">
        <v>202</v>
      </c>
      <c r="B74" t="s">
        <v>155</v>
      </c>
      <c r="C74" t="s">
        <v>156</v>
      </c>
      <c r="D74" t="s">
        <v>15</v>
      </c>
      <c r="E74" t="s">
        <v>1051</v>
      </c>
      <c r="F74" s="3" t="s">
        <v>16</v>
      </c>
      <c r="G74" s="3" t="s">
        <v>16</v>
      </c>
      <c r="H74" t="s">
        <v>22</v>
      </c>
      <c r="I74" t="s">
        <v>64</v>
      </c>
      <c r="J74">
        <v>213205760</v>
      </c>
      <c r="K74" t="s">
        <v>136</v>
      </c>
      <c r="L74" t="s">
        <v>1050</v>
      </c>
      <c r="M74" s="1">
        <f>Data_Caso_Propuesto[[#This Row],[Precio]]</f>
        <v>213205760</v>
      </c>
      <c r="N74" s="1" t="str">
        <f>IFERROR(Data_Caso_Propuesto[[#This Row],[Precio]]/Data_Caso_Propuesto[[#This Row],[Area Terreno]],"")</f>
        <v/>
      </c>
      <c r="O74" s="1" t="str">
        <f>IFERROR((Data_Caso_Propuesto[[#This Row],[Precio]]/Data_Caso_Propuesto[[#This Row],[Area Terreno]])/1000000,"")</f>
        <v/>
      </c>
      <c r="P74" s="1"/>
    </row>
    <row r="75" spans="1:16" x14ac:dyDescent="0.25">
      <c r="A75" t="s">
        <v>202</v>
      </c>
      <c r="B75" t="s">
        <v>155</v>
      </c>
      <c r="C75" t="s">
        <v>156</v>
      </c>
      <c r="D75" t="s">
        <v>15</v>
      </c>
      <c r="E75" t="s">
        <v>1051</v>
      </c>
      <c r="F75" s="3" t="s">
        <v>16</v>
      </c>
      <c r="G75" s="3" t="s">
        <v>16</v>
      </c>
      <c r="H75" t="s">
        <v>25</v>
      </c>
      <c r="I75" t="s">
        <v>64</v>
      </c>
      <c r="J75">
        <v>213205760</v>
      </c>
      <c r="K75" t="s">
        <v>136</v>
      </c>
      <c r="L75" t="s">
        <v>1050</v>
      </c>
      <c r="M75" s="1">
        <f>Data_Caso_Propuesto[[#This Row],[Precio]]</f>
        <v>213205760</v>
      </c>
      <c r="N75" s="1" t="str">
        <f>IFERROR(Data_Caso_Propuesto[[#This Row],[Precio]]/Data_Caso_Propuesto[[#This Row],[Area Terreno]],"")</f>
        <v/>
      </c>
      <c r="O75" s="1" t="str">
        <f>IFERROR((Data_Caso_Propuesto[[#This Row],[Precio]]/Data_Caso_Propuesto[[#This Row],[Area Terreno]])/1000000,"")</f>
        <v/>
      </c>
      <c r="P75" s="1"/>
    </row>
    <row r="76" spans="1:16" x14ac:dyDescent="0.25">
      <c r="A76" t="s">
        <v>203</v>
      </c>
      <c r="B76" t="s">
        <v>155</v>
      </c>
      <c r="C76" t="s">
        <v>156</v>
      </c>
      <c r="D76" t="s">
        <v>15</v>
      </c>
      <c r="E76" t="s">
        <v>1052</v>
      </c>
      <c r="F76" s="3" t="s">
        <v>16</v>
      </c>
      <c r="G76" s="3" t="s">
        <v>16</v>
      </c>
      <c r="H76" t="s">
        <v>22</v>
      </c>
      <c r="I76" t="s">
        <v>64</v>
      </c>
      <c r="J76">
        <v>213205760</v>
      </c>
      <c r="K76" t="s">
        <v>136</v>
      </c>
      <c r="L76" t="s">
        <v>1050</v>
      </c>
      <c r="M76" s="1">
        <f>Data_Caso_Propuesto[[#This Row],[Precio]]</f>
        <v>213205760</v>
      </c>
      <c r="N76" s="1" t="str">
        <f>IFERROR(Data_Caso_Propuesto[[#This Row],[Precio]]/Data_Caso_Propuesto[[#This Row],[Area Terreno]],"")</f>
        <v/>
      </c>
      <c r="O76" s="1" t="str">
        <f>IFERROR((Data_Caso_Propuesto[[#This Row],[Precio]]/Data_Caso_Propuesto[[#This Row],[Area Terreno]])/1000000,"")</f>
        <v/>
      </c>
      <c r="P76" s="1"/>
    </row>
    <row r="77" spans="1:16" x14ac:dyDescent="0.25">
      <c r="A77" t="s">
        <v>203</v>
      </c>
      <c r="B77" t="s">
        <v>155</v>
      </c>
      <c r="C77" t="s">
        <v>156</v>
      </c>
      <c r="D77" t="s">
        <v>15</v>
      </c>
      <c r="E77" t="s">
        <v>1052</v>
      </c>
      <c r="F77" s="3" t="s">
        <v>16</v>
      </c>
      <c r="G77" s="3" t="s">
        <v>16</v>
      </c>
      <c r="H77" t="s">
        <v>25</v>
      </c>
      <c r="I77" t="s">
        <v>64</v>
      </c>
      <c r="J77">
        <v>213205760</v>
      </c>
      <c r="K77" t="s">
        <v>136</v>
      </c>
      <c r="L77" t="s">
        <v>1050</v>
      </c>
      <c r="M77" s="1">
        <f>Data_Caso_Propuesto[[#This Row],[Precio]]</f>
        <v>213205760</v>
      </c>
      <c r="N77" s="1" t="str">
        <f>IFERROR(Data_Caso_Propuesto[[#This Row],[Precio]]/Data_Caso_Propuesto[[#This Row],[Area Terreno]],"")</f>
        <v/>
      </c>
      <c r="O77" s="1" t="str">
        <f>IFERROR((Data_Caso_Propuesto[[#This Row],[Precio]]/Data_Caso_Propuesto[[#This Row],[Area Terreno]])/1000000,"")</f>
        <v/>
      </c>
      <c r="P77" s="1"/>
    </row>
    <row r="78" spans="1:16" x14ac:dyDescent="0.25">
      <c r="A78" t="s">
        <v>206</v>
      </c>
      <c r="B78" t="s">
        <v>127</v>
      </c>
      <c r="C78" t="s">
        <v>28</v>
      </c>
      <c r="D78" t="s">
        <v>15</v>
      </c>
      <c r="E78" t="s">
        <v>1053</v>
      </c>
      <c r="F78" s="3" t="s">
        <v>16</v>
      </c>
      <c r="G78" s="3" t="s">
        <v>16</v>
      </c>
      <c r="H78" t="s">
        <v>51</v>
      </c>
      <c r="I78" t="s">
        <v>81</v>
      </c>
      <c r="J78">
        <v>187458000</v>
      </c>
      <c r="K78" t="s">
        <v>94</v>
      </c>
      <c r="L78" t="s">
        <v>1032</v>
      </c>
      <c r="M78" s="1">
        <f>Data_Caso_Propuesto[[#This Row],[Precio]]</f>
        <v>187458000</v>
      </c>
      <c r="N78" s="1" t="str">
        <f>IFERROR(Data_Caso_Propuesto[[#This Row],[Precio]]/Data_Caso_Propuesto[[#This Row],[Area Terreno]],"")</f>
        <v/>
      </c>
      <c r="O78" s="1" t="str">
        <f>IFERROR((Data_Caso_Propuesto[[#This Row],[Precio]]/Data_Caso_Propuesto[[#This Row],[Area Terreno]])/1000000,"")</f>
        <v/>
      </c>
      <c r="P78" s="1"/>
    </row>
    <row r="79" spans="1:16" x14ac:dyDescent="0.25">
      <c r="A79" t="s">
        <v>207</v>
      </c>
      <c r="B79" t="s">
        <v>155</v>
      </c>
      <c r="C79" t="s">
        <v>156</v>
      </c>
      <c r="D79" t="s">
        <v>15</v>
      </c>
      <c r="E79" t="s">
        <v>1054</v>
      </c>
      <c r="F79" s="3" t="s">
        <v>16</v>
      </c>
      <c r="G79" s="3" t="s">
        <v>16</v>
      </c>
      <c r="H79" t="s">
        <v>22</v>
      </c>
      <c r="I79" t="s">
        <v>64</v>
      </c>
      <c r="J79">
        <v>186144000</v>
      </c>
      <c r="K79" t="s">
        <v>136</v>
      </c>
      <c r="L79" t="s">
        <v>1050</v>
      </c>
      <c r="M79" s="1">
        <f>Data_Caso_Propuesto[[#This Row],[Precio]]</f>
        <v>186144000</v>
      </c>
      <c r="N79" s="1" t="str">
        <f>IFERROR(Data_Caso_Propuesto[[#This Row],[Precio]]/Data_Caso_Propuesto[[#This Row],[Area Terreno]],"")</f>
        <v/>
      </c>
      <c r="O79" s="1" t="str">
        <f>IFERROR((Data_Caso_Propuesto[[#This Row],[Precio]]/Data_Caso_Propuesto[[#This Row],[Area Terreno]])/1000000,"")</f>
        <v/>
      </c>
      <c r="P79" s="1"/>
    </row>
    <row r="80" spans="1:16" x14ac:dyDescent="0.25">
      <c r="A80" t="s">
        <v>207</v>
      </c>
      <c r="B80" t="s">
        <v>155</v>
      </c>
      <c r="C80" t="s">
        <v>156</v>
      </c>
      <c r="D80" t="s">
        <v>15</v>
      </c>
      <c r="E80" t="s">
        <v>1054</v>
      </c>
      <c r="F80" s="3" t="s">
        <v>16</v>
      </c>
      <c r="G80" s="3" t="s">
        <v>16</v>
      </c>
      <c r="H80" t="s">
        <v>25</v>
      </c>
      <c r="I80" t="s">
        <v>64</v>
      </c>
      <c r="J80">
        <v>186144000</v>
      </c>
      <c r="K80" t="s">
        <v>136</v>
      </c>
      <c r="L80" t="s">
        <v>1050</v>
      </c>
      <c r="M80" s="1">
        <f>Data_Caso_Propuesto[[#This Row],[Precio]]</f>
        <v>186144000</v>
      </c>
      <c r="N80" s="1" t="str">
        <f>IFERROR(Data_Caso_Propuesto[[#This Row],[Precio]]/Data_Caso_Propuesto[[#This Row],[Area Terreno]],"")</f>
        <v/>
      </c>
      <c r="O80" s="1" t="str">
        <f>IFERROR((Data_Caso_Propuesto[[#This Row],[Precio]]/Data_Caso_Propuesto[[#This Row],[Area Terreno]])/1000000,"")</f>
        <v/>
      </c>
      <c r="P80" s="1"/>
    </row>
    <row r="81" spans="1:16" x14ac:dyDescent="0.25">
      <c r="A81" t="s">
        <v>208</v>
      </c>
      <c r="B81" t="s">
        <v>155</v>
      </c>
      <c r="C81" t="s">
        <v>156</v>
      </c>
      <c r="D81" t="s">
        <v>15</v>
      </c>
      <c r="E81" t="s">
        <v>1055</v>
      </c>
      <c r="F81" s="3" t="s">
        <v>16</v>
      </c>
      <c r="G81" s="3" t="s">
        <v>16</v>
      </c>
      <c r="H81" t="s">
        <v>22</v>
      </c>
      <c r="I81" t="s">
        <v>64</v>
      </c>
      <c r="J81">
        <v>186144000</v>
      </c>
      <c r="K81" t="s">
        <v>136</v>
      </c>
      <c r="L81" t="s">
        <v>1050</v>
      </c>
      <c r="M81" s="1">
        <f>Data_Caso_Propuesto[[#This Row],[Precio]]</f>
        <v>186144000</v>
      </c>
      <c r="N81" s="1" t="str">
        <f>IFERROR(Data_Caso_Propuesto[[#This Row],[Precio]]/Data_Caso_Propuesto[[#This Row],[Area Terreno]],"")</f>
        <v/>
      </c>
      <c r="O81" s="1" t="str">
        <f>IFERROR((Data_Caso_Propuesto[[#This Row],[Precio]]/Data_Caso_Propuesto[[#This Row],[Area Terreno]])/1000000,"")</f>
        <v/>
      </c>
      <c r="P81" s="1"/>
    </row>
    <row r="82" spans="1:16" x14ac:dyDescent="0.25">
      <c r="A82" t="s">
        <v>208</v>
      </c>
      <c r="B82" t="s">
        <v>155</v>
      </c>
      <c r="C82" t="s">
        <v>156</v>
      </c>
      <c r="D82" t="s">
        <v>15</v>
      </c>
      <c r="E82" t="s">
        <v>1055</v>
      </c>
      <c r="F82" s="3" t="s">
        <v>16</v>
      </c>
      <c r="G82" s="3" t="s">
        <v>16</v>
      </c>
      <c r="H82" t="s">
        <v>25</v>
      </c>
      <c r="I82" t="s">
        <v>64</v>
      </c>
      <c r="J82">
        <v>186144000</v>
      </c>
      <c r="K82" t="s">
        <v>136</v>
      </c>
      <c r="L82" t="s">
        <v>1050</v>
      </c>
      <c r="M82" s="1">
        <f>Data_Caso_Propuesto[[#This Row],[Precio]]</f>
        <v>186144000</v>
      </c>
      <c r="N82" s="1" t="str">
        <f>IFERROR(Data_Caso_Propuesto[[#This Row],[Precio]]/Data_Caso_Propuesto[[#This Row],[Area Terreno]],"")</f>
        <v/>
      </c>
      <c r="O82" s="1" t="str">
        <f>IFERROR((Data_Caso_Propuesto[[#This Row],[Precio]]/Data_Caso_Propuesto[[#This Row],[Area Terreno]])/1000000,"")</f>
        <v/>
      </c>
      <c r="P82" s="1"/>
    </row>
    <row r="83" spans="1:16" x14ac:dyDescent="0.25">
      <c r="A83" t="s">
        <v>209</v>
      </c>
      <c r="B83" t="s">
        <v>210</v>
      </c>
      <c r="C83" t="s">
        <v>211</v>
      </c>
      <c r="D83" t="s">
        <v>15</v>
      </c>
      <c r="E83" t="s">
        <v>212</v>
      </c>
      <c r="F83" s="3" t="s">
        <v>16</v>
      </c>
      <c r="G83" s="3" t="s">
        <v>16</v>
      </c>
      <c r="H83" t="s">
        <v>17</v>
      </c>
      <c r="I83" t="s">
        <v>41</v>
      </c>
      <c r="J83">
        <v>185848000</v>
      </c>
      <c r="K83" t="s">
        <v>46</v>
      </c>
      <c r="L83" t="s">
        <v>15</v>
      </c>
      <c r="M83" s="1">
        <f>Data_Caso_Propuesto[[#This Row],[Precio]]</f>
        <v>185848000</v>
      </c>
      <c r="N83" s="1" t="str">
        <f>IFERROR(Data_Caso_Propuesto[[#This Row],[Precio]]/Data_Caso_Propuesto[[#This Row],[Area Terreno]],"")</f>
        <v/>
      </c>
      <c r="O83" s="1" t="str">
        <f>IFERROR((Data_Caso_Propuesto[[#This Row],[Precio]]/Data_Caso_Propuesto[[#This Row],[Area Terreno]])/1000000,"")</f>
        <v/>
      </c>
      <c r="P83" s="1"/>
    </row>
    <row r="84" spans="1:16" x14ac:dyDescent="0.25">
      <c r="A84" t="s">
        <v>213</v>
      </c>
      <c r="B84" t="s">
        <v>188</v>
      </c>
      <c r="C84" t="s">
        <v>139</v>
      </c>
      <c r="D84" t="s">
        <v>15</v>
      </c>
      <c r="E84" t="s">
        <v>214</v>
      </c>
      <c r="F84" s="3" t="s">
        <v>16</v>
      </c>
      <c r="G84" s="3" t="s">
        <v>16</v>
      </c>
      <c r="H84" t="s">
        <v>17</v>
      </c>
      <c r="I84" t="s">
        <v>31</v>
      </c>
      <c r="J84">
        <v>182340000</v>
      </c>
      <c r="K84" t="s">
        <v>68</v>
      </c>
      <c r="L84" t="s">
        <v>1056</v>
      </c>
      <c r="M84" s="1">
        <f>Data_Caso_Propuesto[[#This Row],[Precio]]</f>
        <v>182340000</v>
      </c>
      <c r="N84" s="1" t="str">
        <f>IFERROR(Data_Caso_Propuesto[[#This Row],[Precio]]/Data_Caso_Propuesto[[#This Row],[Area Terreno]],"")</f>
        <v/>
      </c>
      <c r="O84" s="1" t="str">
        <f>IFERROR((Data_Caso_Propuesto[[#This Row],[Precio]]/Data_Caso_Propuesto[[#This Row],[Area Terreno]])/1000000,"")</f>
        <v/>
      </c>
      <c r="P84" s="1"/>
    </row>
    <row r="85" spans="1:16" x14ac:dyDescent="0.25">
      <c r="A85" t="s">
        <v>215</v>
      </c>
      <c r="B85" t="s">
        <v>216</v>
      </c>
      <c r="C85" t="s">
        <v>76</v>
      </c>
      <c r="D85" t="s">
        <v>15</v>
      </c>
      <c r="E85" t="s">
        <v>1057</v>
      </c>
      <c r="F85" s="3" t="s">
        <v>16</v>
      </c>
      <c r="G85" s="3" t="s">
        <v>16</v>
      </c>
      <c r="H85" t="s">
        <v>51</v>
      </c>
      <c r="I85" t="s">
        <v>18</v>
      </c>
      <c r="J85">
        <v>178310000</v>
      </c>
      <c r="K85" t="s">
        <v>94</v>
      </c>
      <c r="L85" t="s">
        <v>15</v>
      </c>
      <c r="M85" s="1">
        <f>Data_Caso_Propuesto[[#This Row],[Precio]]</f>
        <v>178310000</v>
      </c>
      <c r="N85" s="1" t="str">
        <f>IFERROR(Data_Caso_Propuesto[[#This Row],[Precio]]/Data_Caso_Propuesto[[#This Row],[Area Terreno]],"")</f>
        <v/>
      </c>
      <c r="O85" s="1" t="str">
        <f>IFERROR((Data_Caso_Propuesto[[#This Row],[Precio]]/Data_Caso_Propuesto[[#This Row],[Area Terreno]])/1000000,"")</f>
        <v/>
      </c>
      <c r="P85" s="1"/>
    </row>
    <row r="86" spans="1:16" x14ac:dyDescent="0.25">
      <c r="A86" t="s">
        <v>217</v>
      </c>
      <c r="B86" t="s">
        <v>48</v>
      </c>
      <c r="C86" t="s">
        <v>49</v>
      </c>
      <c r="D86" t="s">
        <v>15</v>
      </c>
      <c r="E86" t="s">
        <v>218</v>
      </c>
      <c r="F86" s="3" t="s">
        <v>16</v>
      </c>
      <c r="G86" s="3" t="s">
        <v>16</v>
      </c>
      <c r="H86" t="s">
        <v>51</v>
      </c>
      <c r="I86" t="s">
        <v>41</v>
      </c>
      <c r="J86">
        <v>178106700</v>
      </c>
      <c r="K86" t="s">
        <v>125</v>
      </c>
      <c r="L86" t="s">
        <v>52</v>
      </c>
      <c r="M86" s="1">
        <f>Data_Caso_Propuesto[[#This Row],[Precio]]</f>
        <v>178106700</v>
      </c>
      <c r="N86" s="1" t="str">
        <f>IFERROR(Data_Caso_Propuesto[[#This Row],[Precio]]/Data_Caso_Propuesto[[#This Row],[Area Terreno]],"")</f>
        <v/>
      </c>
      <c r="O86" s="1" t="str">
        <f>IFERROR((Data_Caso_Propuesto[[#This Row],[Precio]]/Data_Caso_Propuesto[[#This Row],[Area Terreno]])/1000000,"")</f>
        <v/>
      </c>
      <c r="P86" s="1"/>
    </row>
    <row r="87" spans="1:16" x14ac:dyDescent="0.25">
      <c r="A87" t="s">
        <v>219</v>
      </c>
      <c r="B87" t="s">
        <v>188</v>
      </c>
      <c r="C87" t="s">
        <v>139</v>
      </c>
      <c r="D87" t="s">
        <v>15</v>
      </c>
      <c r="E87" t="s">
        <v>1058</v>
      </c>
      <c r="F87" s="3" t="s">
        <v>16</v>
      </c>
      <c r="G87" s="3" t="s">
        <v>16</v>
      </c>
      <c r="H87" t="s">
        <v>17</v>
      </c>
      <c r="I87" t="s">
        <v>31</v>
      </c>
      <c r="J87">
        <v>168826320</v>
      </c>
      <c r="K87" t="s">
        <v>102</v>
      </c>
      <c r="L87" t="s">
        <v>1059</v>
      </c>
      <c r="M87" s="1">
        <f>Data_Caso_Propuesto[[#This Row],[Precio]]</f>
        <v>168826320</v>
      </c>
      <c r="N87" s="1" t="str">
        <f>IFERROR(Data_Caso_Propuesto[[#This Row],[Precio]]/Data_Caso_Propuesto[[#This Row],[Area Terreno]],"")</f>
        <v/>
      </c>
      <c r="O87" s="1" t="str">
        <f>IFERROR((Data_Caso_Propuesto[[#This Row],[Precio]]/Data_Caso_Propuesto[[#This Row],[Area Terreno]])/1000000,"")</f>
        <v/>
      </c>
      <c r="P87" s="1"/>
    </row>
    <row r="88" spans="1:16" x14ac:dyDescent="0.25">
      <c r="A88" t="s">
        <v>220</v>
      </c>
      <c r="B88" t="s">
        <v>13</v>
      </c>
      <c r="C88" t="s">
        <v>14</v>
      </c>
      <c r="D88" t="s">
        <v>15</v>
      </c>
      <c r="E88" t="s">
        <v>221</v>
      </c>
      <c r="F88" s="3" t="s">
        <v>16</v>
      </c>
      <c r="G88" s="3" t="s">
        <v>16</v>
      </c>
      <c r="H88" t="s">
        <v>17</v>
      </c>
      <c r="I88" t="s">
        <v>81</v>
      </c>
      <c r="J88">
        <v>167418000</v>
      </c>
      <c r="K88" t="s">
        <v>94</v>
      </c>
      <c r="L88" t="s">
        <v>15</v>
      </c>
      <c r="M88" s="1">
        <f>Data_Caso_Propuesto[[#This Row],[Precio]]</f>
        <v>167418000</v>
      </c>
      <c r="N88" s="1" t="str">
        <f>IFERROR(Data_Caso_Propuesto[[#This Row],[Precio]]/Data_Caso_Propuesto[[#This Row],[Area Terreno]],"")</f>
        <v/>
      </c>
      <c r="O88" s="1" t="str">
        <f>IFERROR((Data_Caso_Propuesto[[#This Row],[Precio]]/Data_Caso_Propuesto[[#This Row],[Area Terreno]])/1000000,"")</f>
        <v/>
      </c>
      <c r="P88" s="1"/>
    </row>
    <row r="89" spans="1:16" x14ac:dyDescent="0.25">
      <c r="A89" t="s">
        <v>224</v>
      </c>
      <c r="B89" t="s">
        <v>155</v>
      </c>
      <c r="C89" t="s">
        <v>156</v>
      </c>
      <c r="D89" t="s">
        <v>225</v>
      </c>
      <c r="E89" t="s">
        <v>226</v>
      </c>
      <c r="F89" s="3" t="s">
        <v>16</v>
      </c>
      <c r="G89" s="3" t="s">
        <v>16</v>
      </c>
      <c r="H89" t="s">
        <v>17</v>
      </c>
      <c r="I89" t="s">
        <v>23</v>
      </c>
      <c r="J89">
        <v>3535117700</v>
      </c>
      <c r="K89" t="s">
        <v>46</v>
      </c>
      <c r="L89" t="s">
        <v>15</v>
      </c>
      <c r="M89" s="1">
        <f>Data_Caso_Propuesto[[#This Row],[Precio]]</f>
        <v>3535117700</v>
      </c>
      <c r="N89" s="1" t="str">
        <f>IFERROR(Data_Caso_Propuesto[[#This Row],[Precio]]/Data_Caso_Propuesto[[#This Row],[Area Terreno]],"")</f>
        <v/>
      </c>
      <c r="O89" s="1" t="str">
        <f>IFERROR((Data_Caso_Propuesto[[#This Row],[Precio]]/Data_Caso_Propuesto[[#This Row],[Area Terreno]])/1000000,"")</f>
        <v/>
      </c>
      <c r="P89" s="1"/>
    </row>
    <row r="90" spans="1:16" x14ac:dyDescent="0.25">
      <c r="A90" t="s">
        <v>227</v>
      </c>
      <c r="B90" t="s">
        <v>155</v>
      </c>
      <c r="C90" t="s">
        <v>156</v>
      </c>
      <c r="D90" t="s">
        <v>15</v>
      </c>
      <c r="E90" t="s">
        <v>1060</v>
      </c>
      <c r="F90" s="3" t="s">
        <v>16</v>
      </c>
      <c r="G90" s="3" t="s">
        <v>16</v>
      </c>
      <c r="H90" t="s">
        <v>22</v>
      </c>
      <c r="I90" t="s">
        <v>64</v>
      </c>
      <c r="J90">
        <v>159019520</v>
      </c>
      <c r="K90" t="s">
        <v>136</v>
      </c>
      <c r="L90" t="s">
        <v>1050</v>
      </c>
      <c r="M90" s="1">
        <f>Data_Caso_Propuesto[[#This Row],[Precio]]</f>
        <v>159019520</v>
      </c>
      <c r="N90" s="1" t="str">
        <f>IFERROR(Data_Caso_Propuesto[[#This Row],[Precio]]/Data_Caso_Propuesto[[#This Row],[Area Terreno]],"")</f>
        <v/>
      </c>
      <c r="O90" s="1" t="str">
        <f>IFERROR((Data_Caso_Propuesto[[#This Row],[Precio]]/Data_Caso_Propuesto[[#This Row],[Area Terreno]])/1000000,"")</f>
        <v/>
      </c>
      <c r="P90" s="1"/>
    </row>
    <row r="91" spans="1:16" x14ac:dyDescent="0.25">
      <c r="A91" t="s">
        <v>227</v>
      </c>
      <c r="B91" t="s">
        <v>155</v>
      </c>
      <c r="C91" t="s">
        <v>156</v>
      </c>
      <c r="D91" t="s">
        <v>15</v>
      </c>
      <c r="E91" t="s">
        <v>1060</v>
      </c>
      <c r="F91" s="3" t="s">
        <v>16</v>
      </c>
      <c r="G91" s="3" t="s">
        <v>16</v>
      </c>
      <c r="H91" t="s">
        <v>25</v>
      </c>
      <c r="I91" t="s">
        <v>64</v>
      </c>
      <c r="J91">
        <v>159019520</v>
      </c>
      <c r="K91" t="s">
        <v>136</v>
      </c>
      <c r="L91" t="s">
        <v>1050</v>
      </c>
      <c r="M91" s="1">
        <f>Data_Caso_Propuesto[[#This Row],[Precio]]</f>
        <v>159019520</v>
      </c>
      <c r="N91" s="1" t="str">
        <f>IFERROR(Data_Caso_Propuesto[[#This Row],[Precio]]/Data_Caso_Propuesto[[#This Row],[Area Terreno]],"")</f>
        <v/>
      </c>
      <c r="O91" s="1" t="str">
        <f>IFERROR((Data_Caso_Propuesto[[#This Row],[Precio]]/Data_Caso_Propuesto[[#This Row],[Area Terreno]])/1000000,"")</f>
        <v/>
      </c>
      <c r="P91" s="1"/>
    </row>
    <row r="92" spans="1:16" x14ac:dyDescent="0.25">
      <c r="A92" t="s">
        <v>228</v>
      </c>
      <c r="B92" t="s">
        <v>229</v>
      </c>
      <c r="C92" t="s">
        <v>130</v>
      </c>
      <c r="D92" t="s">
        <v>15</v>
      </c>
      <c r="E92" t="s">
        <v>230</v>
      </c>
      <c r="F92" s="3" t="s">
        <v>16</v>
      </c>
      <c r="G92" s="3" t="s">
        <v>16</v>
      </c>
      <c r="H92" t="s">
        <v>51</v>
      </c>
      <c r="I92" t="s">
        <v>41</v>
      </c>
      <c r="J92">
        <v>145587375</v>
      </c>
      <c r="K92" t="s">
        <v>73</v>
      </c>
      <c r="L92" t="s">
        <v>231</v>
      </c>
      <c r="M92" s="1">
        <f>Data_Caso_Propuesto[[#This Row],[Precio]]</f>
        <v>145587375</v>
      </c>
      <c r="N92" s="1" t="str">
        <f>IFERROR(Data_Caso_Propuesto[[#This Row],[Precio]]/Data_Caso_Propuesto[[#This Row],[Area Terreno]],"")</f>
        <v/>
      </c>
      <c r="O92" s="1" t="str">
        <f>IFERROR((Data_Caso_Propuesto[[#This Row],[Precio]]/Data_Caso_Propuesto[[#This Row],[Area Terreno]])/1000000,"")</f>
        <v/>
      </c>
      <c r="P92" s="1"/>
    </row>
    <row r="93" spans="1:16" x14ac:dyDescent="0.25">
      <c r="A93" t="s">
        <v>232</v>
      </c>
      <c r="B93" t="s">
        <v>155</v>
      </c>
      <c r="C93" t="s">
        <v>156</v>
      </c>
      <c r="D93" t="s">
        <v>15</v>
      </c>
      <c r="E93" t="s">
        <v>1061</v>
      </c>
      <c r="F93" s="3" t="s">
        <v>16</v>
      </c>
      <c r="G93" s="3" t="s">
        <v>16</v>
      </c>
      <c r="H93" t="s">
        <v>17</v>
      </c>
      <c r="I93" t="s">
        <v>176</v>
      </c>
      <c r="J93">
        <v>144636000</v>
      </c>
      <c r="K93" t="s">
        <v>68</v>
      </c>
      <c r="L93" t="s">
        <v>1062</v>
      </c>
      <c r="M93" s="1">
        <f>Data_Caso_Propuesto[[#This Row],[Precio]]</f>
        <v>144636000</v>
      </c>
      <c r="N93" s="1" t="str">
        <f>IFERROR(Data_Caso_Propuesto[[#This Row],[Precio]]/Data_Caso_Propuesto[[#This Row],[Area Terreno]],"")</f>
        <v/>
      </c>
      <c r="O93" s="1" t="str">
        <f>IFERROR((Data_Caso_Propuesto[[#This Row],[Precio]]/Data_Caso_Propuesto[[#This Row],[Area Terreno]])/1000000,"")</f>
        <v/>
      </c>
      <c r="P93" s="1"/>
    </row>
    <row r="94" spans="1:16" x14ac:dyDescent="0.25">
      <c r="A94" t="s">
        <v>238</v>
      </c>
      <c r="B94" t="s">
        <v>239</v>
      </c>
      <c r="C94" t="s">
        <v>36</v>
      </c>
      <c r="D94" t="s">
        <v>15</v>
      </c>
      <c r="E94" t="s">
        <v>1063</v>
      </c>
      <c r="F94" s="3" t="s">
        <v>16</v>
      </c>
      <c r="G94" s="3" t="s">
        <v>16</v>
      </c>
      <c r="H94" t="s">
        <v>51</v>
      </c>
      <c r="I94" t="s">
        <v>31</v>
      </c>
      <c r="J94">
        <v>130099200</v>
      </c>
      <c r="K94" t="s">
        <v>68</v>
      </c>
      <c r="L94" t="s">
        <v>15</v>
      </c>
      <c r="M94" s="1">
        <f>Data_Caso_Propuesto[[#This Row],[Precio]]</f>
        <v>130099200</v>
      </c>
      <c r="N94" s="1" t="str">
        <f>IFERROR(Data_Caso_Propuesto[[#This Row],[Precio]]/Data_Caso_Propuesto[[#This Row],[Area Terreno]],"")</f>
        <v/>
      </c>
      <c r="O94" s="1" t="str">
        <f>IFERROR((Data_Caso_Propuesto[[#This Row],[Precio]]/Data_Caso_Propuesto[[#This Row],[Area Terreno]])/1000000,"")</f>
        <v/>
      </c>
      <c r="P94" s="1"/>
    </row>
    <row r="95" spans="1:16" x14ac:dyDescent="0.25">
      <c r="A95" t="s">
        <v>240</v>
      </c>
      <c r="B95" t="s">
        <v>70</v>
      </c>
      <c r="C95" t="s">
        <v>71</v>
      </c>
      <c r="D95" t="s">
        <v>15</v>
      </c>
      <c r="E95" t="s">
        <v>241</v>
      </c>
      <c r="F95" s="3" t="s">
        <v>16</v>
      </c>
      <c r="G95" s="3" t="s">
        <v>16</v>
      </c>
      <c r="H95" t="s">
        <v>17</v>
      </c>
      <c r="I95" t="s">
        <v>41</v>
      </c>
      <c r="J95">
        <v>1101246490</v>
      </c>
      <c r="K95" t="s">
        <v>62</v>
      </c>
      <c r="L95" t="s">
        <v>15</v>
      </c>
      <c r="M95" s="1">
        <f>Data_Caso_Propuesto[[#This Row],[Precio]]</f>
        <v>1101246490</v>
      </c>
      <c r="N95" s="1" t="str">
        <f>IFERROR(Data_Caso_Propuesto[[#This Row],[Precio]]/Data_Caso_Propuesto[[#This Row],[Area Terreno]],"")</f>
        <v/>
      </c>
      <c r="O95" s="1" t="str">
        <f>IFERROR((Data_Caso_Propuesto[[#This Row],[Precio]]/Data_Caso_Propuesto[[#This Row],[Area Terreno]])/1000000,"")</f>
        <v/>
      </c>
      <c r="P95" s="1"/>
    </row>
    <row r="96" spans="1:16" x14ac:dyDescent="0.25">
      <c r="A96" t="s">
        <v>245</v>
      </c>
      <c r="B96" t="s">
        <v>229</v>
      </c>
      <c r="C96" t="s">
        <v>130</v>
      </c>
      <c r="D96" t="s">
        <v>15</v>
      </c>
      <c r="E96" t="s">
        <v>246</v>
      </c>
      <c r="F96" s="3" t="s">
        <v>16</v>
      </c>
      <c r="G96" s="3" t="s">
        <v>16</v>
      </c>
      <c r="H96" t="s">
        <v>51</v>
      </c>
      <c r="I96" t="s">
        <v>41</v>
      </c>
      <c r="J96">
        <v>100645710</v>
      </c>
      <c r="K96" t="s">
        <v>73</v>
      </c>
      <c r="L96" t="s">
        <v>1064</v>
      </c>
      <c r="M96" s="1">
        <f>Data_Caso_Propuesto[[#This Row],[Precio]]</f>
        <v>100645710</v>
      </c>
      <c r="N96" s="1" t="str">
        <f>IFERROR(Data_Caso_Propuesto[[#This Row],[Precio]]/Data_Caso_Propuesto[[#This Row],[Area Terreno]],"")</f>
        <v/>
      </c>
      <c r="O96" s="1" t="str">
        <f>IFERROR((Data_Caso_Propuesto[[#This Row],[Precio]]/Data_Caso_Propuesto[[#This Row],[Area Terreno]])/1000000,"")</f>
        <v/>
      </c>
      <c r="P96" s="1"/>
    </row>
    <row r="97" spans="1:16" x14ac:dyDescent="0.25">
      <c r="A97" t="s">
        <v>247</v>
      </c>
      <c r="B97" t="s">
        <v>70</v>
      </c>
      <c r="C97" t="s">
        <v>71</v>
      </c>
      <c r="D97" t="s">
        <v>149</v>
      </c>
      <c r="E97" t="s">
        <v>1065</v>
      </c>
      <c r="F97" s="3" t="s">
        <v>16</v>
      </c>
      <c r="G97" s="3" t="s">
        <v>16</v>
      </c>
      <c r="H97" t="s">
        <v>17</v>
      </c>
      <c r="I97" t="s">
        <v>81</v>
      </c>
      <c r="J97">
        <v>100138200</v>
      </c>
      <c r="K97" t="s">
        <v>68</v>
      </c>
      <c r="L97" t="s">
        <v>15</v>
      </c>
      <c r="M97" s="1">
        <f>Data_Caso_Propuesto[[#This Row],[Precio]]</f>
        <v>100138200</v>
      </c>
      <c r="N97" s="1" t="str">
        <f>IFERROR(Data_Caso_Propuesto[[#This Row],[Precio]]/Data_Caso_Propuesto[[#This Row],[Area Terreno]],"")</f>
        <v/>
      </c>
      <c r="O97" s="1" t="str">
        <f>IFERROR((Data_Caso_Propuesto[[#This Row],[Precio]]/Data_Caso_Propuesto[[#This Row],[Area Terreno]])/1000000,"")</f>
        <v/>
      </c>
      <c r="P97" s="1"/>
    </row>
    <row r="98" spans="1:16" x14ac:dyDescent="0.25">
      <c r="A98" t="s">
        <v>248</v>
      </c>
      <c r="B98" t="s">
        <v>155</v>
      </c>
      <c r="C98" t="s">
        <v>156</v>
      </c>
      <c r="D98" t="s">
        <v>15</v>
      </c>
      <c r="E98" t="s">
        <v>1066</v>
      </c>
      <c r="F98" s="3" t="s">
        <v>16</v>
      </c>
      <c r="G98" s="3" t="s">
        <v>16</v>
      </c>
      <c r="H98" t="s">
        <v>17</v>
      </c>
      <c r="I98" t="s">
        <v>81</v>
      </c>
      <c r="J98">
        <v>99324000</v>
      </c>
      <c r="K98" t="s">
        <v>68</v>
      </c>
      <c r="L98" t="s">
        <v>1062</v>
      </c>
      <c r="M98" s="1">
        <f>Data_Caso_Propuesto[[#This Row],[Precio]]</f>
        <v>99324000</v>
      </c>
      <c r="N98" s="1" t="str">
        <f>IFERROR(Data_Caso_Propuesto[[#This Row],[Precio]]/Data_Caso_Propuesto[[#This Row],[Area Terreno]],"")</f>
        <v/>
      </c>
      <c r="O98" s="1" t="str">
        <f>IFERROR((Data_Caso_Propuesto[[#This Row],[Precio]]/Data_Caso_Propuesto[[#This Row],[Area Terreno]])/1000000,"")</f>
        <v/>
      </c>
      <c r="P98" s="1"/>
    </row>
    <row r="99" spans="1:16" x14ac:dyDescent="0.25">
      <c r="A99" t="s">
        <v>252</v>
      </c>
      <c r="B99" t="s">
        <v>253</v>
      </c>
      <c r="C99" t="s">
        <v>130</v>
      </c>
      <c r="D99" t="s">
        <v>15</v>
      </c>
      <c r="E99" t="s">
        <v>1067</v>
      </c>
      <c r="F99" s="3" t="s">
        <v>16</v>
      </c>
      <c r="G99" s="3" t="s">
        <v>16</v>
      </c>
      <c r="H99" t="s">
        <v>51</v>
      </c>
      <c r="I99" t="s">
        <v>176</v>
      </c>
      <c r="J99">
        <v>98360090</v>
      </c>
      <c r="K99" t="s">
        <v>94</v>
      </c>
      <c r="L99" t="s">
        <v>132</v>
      </c>
      <c r="M99" s="1">
        <f>Data_Caso_Propuesto[[#This Row],[Precio]]</f>
        <v>98360090</v>
      </c>
      <c r="N99" s="1" t="str">
        <f>IFERROR(Data_Caso_Propuesto[[#This Row],[Precio]]/Data_Caso_Propuesto[[#This Row],[Area Terreno]],"")</f>
        <v/>
      </c>
      <c r="O99" s="1" t="str">
        <f>IFERROR((Data_Caso_Propuesto[[#This Row],[Precio]]/Data_Caso_Propuesto[[#This Row],[Area Terreno]])/1000000,"")</f>
        <v/>
      </c>
      <c r="P99" s="1"/>
    </row>
    <row r="100" spans="1:16" x14ac:dyDescent="0.25">
      <c r="A100" t="s">
        <v>254</v>
      </c>
      <c r="B100" t="s">
        <v>255</v>
      </c>
      <c r="C100" t="s">
        <v>256</v>
      </c>
      <c r="D100" t="s">
        <v>15</v>
      </c>
      <c r="E100" t="s">
        <v>257</v>
      </c>
      <c r="F100" s="3" t="s">
        <v>16</v>
      </c>
      <c r="G100" s="3" t="s">
        <v>16</v>
      </c>
      <c r="H100" t="s">
        <v>22</v>
      </c>
      <c r="I100" t="s">
        <v>23</v>
      </c>
      <c r="J100">
        <v>9377668408</v>
      </c>
      <c r="K100" t="s">
        <v>68</v>
      </c>
      <c r="L100" t="s">
        <v>1068</v>
      </c>
      <c r="M100" s="1">
        <f>Data_Caso_Propuesto[[#This Row],[Precio]]</f>
        <v>9377668408</v>
      </c>
      <c r="N100" s="1" t="str">
        <f>IFERROR(Data_Caso_Propuesto[[#This Row],[Precio]]/Data_Caso_Propuesto[[#This Row],[Area Terreno]],"")</f>
        <v/>
      </c>
      <c r="O100" s="1" t="str">
        <f>IFERROR((Data_Caso_Propuesto[[#This Row],[Precio]]/Data_Caso_Propuesto[[#This Row],[Area Terreno]])/1000000,"")</f>
        <v/>
      </c>
      <c r="P100" s="1"/>
    </row>
    <row r="101" spans="1:16" x14ac:dyDescent="0.25">
      <c r="A101" t="s">
        <v>258</v>
      </c>
      <c r="B101" t="s">
        <v>48</v>
      </c>
      <c r="C101" t="s">
        <v>49</v>
      </c>
      <c r="D101" t="s">
        <v>15</v>
      </c>
      <c r="E101" t="s">
        <v>259</v>
      </c>
      <c r="F101" s="3" t="s">
        <v>16</v>
      </c>
      <c r="G101" s="3" t="s">
        <v>16</v>
      </c>
      <c r="H101" t="s">
        <v>51</v>
      </c>
      <c r="I101" t="s">
        <v>81</v>
      </c>
      <c r="J101">
        <v>83179100</v>
      </c>
      <c r="K101" t="s">
        <v>65</v>
      </c>
      <c r="L101" t="s">
        <v>1069</v>
      </c>
      <c r="M101" s="1">
        <f>Data_Caso_Propuesto[[#This Row],[Precio]]</f>
        <v>83179100</v>
      </c>
      <c r="N101" s="1" t="str">
        <f>IFERROR(Data_Caso_Propuesto[[#This Row],[Precio]]/Data_Caso_Propuesto[[#This Row],[Area Terreno]],"")</f>
        <v/>
      </c>
      <c r="O101" s="1" t="str">
        <f>IFERROR((Data_Caso_Propuesto[[#This Row],[Precio]]/Data_Caso_Propuesto[[#This Row],[Area Terreno]])/1000000,"")</f>
        <v/>
      </c>
      <c r="P101" s="1"/>
    </row>
    <row r="102" spans="1:16" x14ac:dyDescent="0.25">
      <c r="A102" t="s">
        <v>260</v>
      </c>
      <c r="B102" t="s">
        <v>70</v>
      </c>
      <c r="C102" t="s">
        <v>71</v>
      </c>
      <c r="D102" t="s">
        <v>149</v>
      </c>
      <c r="E102" t="s">
        <v>1070</v>
      </c>
      <c r="F102" s="3" t="s">
        <v>16</v>
      </c>
      <c r="G102" s="3" t="s">
        <v>16</v>
      </c>
      <c r="H102" t="s">
        <v>17</v>
      </c>
      <c r="I102" t="s">
        <v>31</v>
      </c>
      <c r="J102">
        <v>8084411853</v>
      </c>
      <c r="K102" t="s">
        <v>68</v>
      </c>
      <c r="L102" t="s">
        <v>15</v>
      </c>
      <c r="M102" s="1">
        <f>Data_Caso_Propuesto[[#This Row],[Precio]]</f>
        <v>8084411853</v>
      </c>
      <c r="N102" s="1" t="str">
        <f>IFERROR(Data_Caso_Propuesto[[#This Row],[Precio]]/Data_Caso_Propuesto[[#This Row],[Area Terreno]],"")</f>
        <v/>
      </c>
      <c r="O102" s="1" t="str">
        <f>IFERROR((Data_Caso_Propuesto[[#This Row],[Precio]]/Data_Caso_Propuesto[[#This Row],[Area Terreno]])/1000000,"")</f>
        <v/>
      </c>
      <c r="P102" s="1"/>
    </row>
    <row r="103" spans="1:16" x14ac:dyDescent="0.25">
      <c r="A103" t="s">
        <v>261</v>
      </c>
      <c r="B103" t="s">
        <v>13</v>
      </c>
      <c r="C103" t="s">
        <v>14</v>
      </c>
      <c r="D103" t="s">
        <v>15</v>
      </c>
      <c r="E103" t="s">
        <v>262</v>
      </c>
      <c r="F103" s="3" t="s">
        <v>16</v>
      </c>
      <c r="G103" s="3" t="s">
        <v>16</v>
      </c>
      <c r="H103" t="s">
        <v>22</v>
      </c>
      <c r="I103" t="s">
        <v>23</v>
      </c>
      <c r="J103">
        <v>77202090</v>
      </c>
      <c r="K103" t="s">
        <v>136</v>
      </c>
      <c r="L103" t="s">
        <v>15</v>
      </c>
      <c r="M103" s="1">
        <f>Data_Caso_Propuesto[[#This Row],[Precio]]</f>
        <v>77202090</v>
      </c>
      <c r="N103" s="1" t="str">
        <f>IFERROR(Data_Caso_Propuesto[[#This Row],[Precio]]/Data_Caso_Propuesto[[#This Row],[Area Terreno]],"")</f>
        <v/>
      </c>
      <c r="O103" s="1" t="str">
        <f>IFERROR((Data_Caso_Propuesto[[#This Row],[Precio]]/Data_Caso_Propuesto[[#This Row],[Area Terreno]])/1000000,"")</f>
        <v/>
      </c>
      <c r="P103" s="1"/>
    </row>
    <row r="104" spans="1:16" x14ac:dyDescent="0.25">
      <c r="A104" t="s">
        <v>266</v>
      </c>
      <c r="B104" t="s">
        <v>93</v>
      </c>
      <c r="C104" t="s">
        <v>45</v>
      </c>
      <c r="D104" t="s">
        <v>15</v>
      </c>
      <c r="E104" t="s">
        <v>1071</v>
      </c>
      <c r="F104" s="3" t="s">
        <v>16</v>
      </c>
      <c r="G104" s="3" t="s">
        <v>16</v>
      </c>
      <c r="H104" t="s">
        <v>51</v>
      </c>
      <c r="I104" t="s">
        <v>18</v>
      </c>
      <c r="J104">
        <v>72976720</v>
      </c>
      <c r="K104" t="s">
        <v>94</v>
      </c>
      <c r="L104" t="s">
        <v>15</v>
      </c>
      <c r="M104" s="1">
        <f>Data_Caso_Propuesto[[#This Row],[Precio]]</f>
        <v>72976720</v>
      </c>
      <c r="N104" s="1" t="str">
        <f>IFERROR(Data_Caso_Propuesto[[#This Row],[Precio]]/Data_Caso_Propuesto[[#This Row],[Area Terreno]],"")</f>
        <v/>
      </c>
      <c r="O104" s="1" t="str">
        <f>IFERROR((Data_Caso_Propuesto[[#This Row],[Precio]]/Data_Caso_Propuesto[[#This Row],[Area Terreno]])/1000000,"")</f>
        <v/>
      </c>
      <c r="P104" s="1"/>
    </row>
    <row r="105" spans="1:16" x14ac:dyDescent="0.25">
      <c r="A105" t="s">
        <v>267</v>
      </c>
      <c r="B105" t="s">
        <v>255</v>
      </c>
      <c r="C105" t="s">
        <v>256</v>
      </c>
      <c r="D105" t="s">
        <v>15</v>
      </c>
      <c r="E105" t="s">
        <v>268</v>
      </c>
      <c r="F105" s="3" t="s">
        <v>16</v>
      </c>
      <c r="G105" s="3" t="s">
        <v>16</v>
      </c>
      <c r="H105" t="s">
        <v>17</v>
      </c>
      <c r="I105" t="s">
        <v>23</v>
      </c>
      <c r="J105">
        <v>6732023256</v>
      </c>
      <c r="K105" t="s">
        <v>68</v>
      </c>
      <c r="L105" t="s">
        <v>1072</v>
      </c>
      <c r="M105" s="1">
        <f>Data_Caso_Propuesto[[#This Row],[Precio]]</f>
        <v>6732023256</v>
      </c>
      <c r="N105" s="1" t="str">
        <f>IFERROR(Data_Caso_Propuesto[[#This Row],[Precio]]/Data_Caso_Propuesto[[#This Row],[Area Terreno]],"")</f>
        <v/>
      </c>
      <c r="O105" s="1" t="str">
        <f>IFERROR((Data_Caso_Propuesto[[#This Row],[Precio]]/Data_Caso_Propuesto[[#This Row],[Area Terreno]])/1000000,"")</f>
        <v/>
      </c>
      <c r="P105" s="1"/>
    </row>
    <row r="106" spans="1:16" x14ac:dyDescent="0.25">
      <c r="A106" t="s">
        <v>269</v>
      </c>
      <c r="B106" t="s">
        <v>129</v>
      </c>
      <c r="C106" t="s">
        <v>130</v>
      </c>
      <c r="D106" t="s">
        <v>15</v>
      </c>
      <c r="E106" t="s">
        <v>1073</v>
      </c>
      <c r="F106" s="3" t="s">
        <v>16</v>
      </c>
      <c r="G106" s="3" t="s">
        <v>16</v>
      </c>
      <c r="H106" t="s">
        <v>51</v>
      </c>
      <c r="I106" t="s">
        <v>41</v>
      </c>
      <c r="J106">
        <v>66820196</v>
      </c>
      <c r="K106" t="s">
        <v>73</v>
      </c>
      <c r="L106" t="s">
        <v>1074</v>
      </c>
      <c r="M106" s="1">
        <f>Data_Caso_Propuesto[[#This Row],[Precio]]</f>
        <v>66820196</v>
      </c>
      <c r="N106" s="1" t="str">
        <f>IFERROR(Data_Caso_Propuesto[[#This Row],[Precio]]/Data_Caso_Propuesto[[#This Row],[Area Terreno]],"")</f>
        <v/>
      </c>
      <c r="O106" s="1" t="str">
        <f>IFERROR((Data_Caso_Propuesto[[#This Row],[Precio]]/Data_Caso_Propuesto[[#This Row],[Area Terreno]])/1000000,"")</f>
        <v/>
      </c>
      <c r="P106" s="1"/>
    </row>
    <row r="107" spans="1:16" x14ac:dyDescent="0.25">
      <c r="A107" t="s">
        <v>270</v>
      </c>
      <c r="B107" t="s">
        <v>48</v>
      </c>
      <c r="C107" t="s">
        <v>49</v>
      </c>
      <c r="D107" t="s">
        <v>15</v>
      </c>
      <c r="E107" t="s">
        <v>271</v>
      </c>
      <c r="F107" s="3" t="s">
        <v>16</v>
      </c>
      <c r="G107" s="3" t="s">
        <v>16</v>
      </c>
      <c r="H107" t="s">
        <v>51</v>
      </c>
      <c r="I107" t="s">
        <v>81</v>
      </c>
      <c r="J107">
        <v>66744770</v>
      </c>
      <c r="K107" t="s">
        <v>65</v>
      </c>
      <c r="L107" t="s">
        <v>1075</v>
      </c>
      <c r="M107" s="1">
        <f>Data_Caso_Propuesto[[#This Row],[Precio]]</f>
        <v>66744770</v>
      </c>
      <c r="N107" s="1" t="str">
        <f>IFERROR(Data_Caso_Propuesto[[#This Row],[Precio]]/Data_Caso_Propuesto[[#This Row],[Area Terreno]],"")</f>
        <v/>
      </c>
      <c r="O107" s="1" t="str">
        <f>IFERROR((Data_Caso_Propuesto[[#This Row],[Precio]]/Data_Caso_Propuesto[[#This Row],[Area Terreno]])/1000000,"")</f>
        <v/>
      </c>
      <c r="P107" s="1"/>
    </row>
    <row r="108" spans="1:16" x14ac:dyDescent="0.25">
      <c r="A108" t="s">
        <v>272</v>
      </c>
      <c r="B108" t="s">
        <v>273</v>
      </c>
      <c r="C108" t="s">
        <v>14</v>
      </c>
      <c r="D108" t="s">
        <v>15</v>
      </c>
      <c r="E108" t="s">
        <v>274</v>
      </c>
      <c r="F108" s="3" t="s">
        <v>16</v>
      </c>
      <c r="G108" s="3" t="s">
        <v>16</v>
      </c>
      <c r="H108" t="s">
        <v>17</v>
      </c>
      <c r="I108" t="s">
        <v>41</v>
      </c>
      <c r="J108">
        <v>10683777981</v>
      </c>
      <c r="K108" t="s">
        <v>46</v>
      </c>
      <c r="L108" t="s">
        <v>15</v>
      </c>
      <c r="M108" s="1">
        <f>Data_Caso_Propuesto[[#This Row],[Precio]]</f>
        <v>10683777981</v>
      </c>
      <c r="N108" s="1" t="str">
        <f>IFERROR(Data_Caso_Propuesto[[#This Row],[Precio]]/Data_Caso_Propuesto[[#This Row],[Area Terreno]],"")</f>
        <v/>
      </c>
      <c r="O108" s="1" t="str">
        <f>IFERROR((Data_Caso_Propuesto[[#This Row],[Precio]]/Data_Caso_Propuesto[[#This Row],[Area Terreno]])/1000000,"")</f>
        <v/>
      </c>
      <c r="P108" s="1"/>
    </row>
    <row r="109" spans="1:16" x14ac:dyDescent="0.25">
      <c r="A109" t="s">
        <v>275</v>
      </c>
      <c r="B109" t="s">
        <v>111</v>
      </c>
      <c r="C109" t="s">
        <v>112</v>
      </c>
      <c r="D109" t="s">
        <v>276</v>
      </c>
      <c r="E109" t="s">
        <v>1076</v>
      </c>
      <c r="F109" s="3" t="s">
        <v>16</v>
      </c>
      <c r="G109" s="3" t="s">
        <v>16</v>
      </c>
      <c r="H109" t="s">
        <v>17</v>
      </c>
      <c r="I109" t="s">
        <v>18</v>
      </c>
      <c r="J109">
        <v>131355000</v>
      </c>
      <c r="K109" t="s">
        <v>65</v>
      </c>
      <c r="L109" t="s">
        <v>1077</v>
      </c>
      <c r="M109" s="1">
        <f>Data_Caso_Propuesto[[#This Row],[Precio]]</f>
        <v>131355000</v>
      </c>
      <c r="N109" s="1" t="str">
        <f>IFERROR(Data_Caso_Propuesto[[#This Row],[Precio]]/Data_Caso_Propuesto[[#This Row],[Area Terreno]],"")</f>
        <v/>
      </c>
      <c r="O109" s="1" t="str">
        <f>IFERROR((Data_Caso_Propuesto[[#This Row],[Precio]]/Data_Caso_Propuesto[[#This Row],[Area Terreno]])/1000000,"")</f>
        <v/>
      </c>
      <c r="P109" s="1"/>
    </row>
    <row r="110" spans="1:16" x14ac:dyDescent="0.25">
      <c r="A110" t="s">
        <v>277</v>
      </c>
      <c r="B110" t="s">
        <v>111</v>
      </c>
      <c r="C110" t="s">
        <v>112</v>
      </c>
      <c r="D110" t="s">
        <v>276</v>
      </c>
      <c r="E110" t="s">
        <v>1078</v>
      </c>
      <c r="F110" s="3" t="s">
        <v>16</v>
      </c>
      <c r="G110" s="3" t="s">
        <v>16</v>
      </c>
      <c r="H110" t="s">
        <v>17</v>
      </c>
      <c r="I110" t="s">
        <v>18</v>
      </c>
      <c r="J110">
        <v>125370000</v>
      </c>
      <c r="K110" t="s">
        <v>65</v>
      </c>
      <c r="L110" t="s">
        <v>1077</v>
      </c>
      <c r="M110" s="1">
        <f>Data_Caso_Propuesto[[#This Row],[Precio]]</f>
        <v>125370000</v>
      </c>
      <c r="N110" s="1" t="str">
        <f>IFERROR(Data_Caso_Propuesto[[#This Row],[Precio]]/Data_Caso_Propuesto[[#This Row],[Area Terreno]],"")</f>
        <v/>
      </c>
      <c r="O110" s="1" t="str">
        <f>IFERROR((Data_Caso_Propuesto[[#This Row],[Precio]]/Data_Caso_Propuesto[[#This Row],[Area Terreno]])/1000000,"")</f>
        <v/>
      </c>
      <c r="P110" s="1"/>
    </row>
    <row r="111" spans="1:16" x14ac:dyDescent="0.25">
      <c r="A111" t="s">
        <v>278</v>
      </c>
      <c r="B111" t="s">
        <v>70</v>
      </c>
      <c r="C111" t="s">
        <v>71</v>
      </c>
      <c r="D111" t="s">
        <v>149</v>
      </c>
      <c r="E111" t="s">
        <v>1079</v>
      </c>
      <c r="F111" s="3" t="s">
        <v>16</v>
      </c>
      <c r="G111" s="3" t="s">
        <v>16</v>
      </c>
      <c r="H111" t="s">
        <v>17</v>
      </c>
      <c r="I111" t="s">
        <v>81</v>
      </c>
      <c r="J111">
        <v>53401590</v>
      </c>
      <c r="K111" t="s">
        <v>68</v>
      </c>
      <c r="L111" t="s">
        <v>15</v>
      </c>
      <c r="M111" s="1">
        <f>Data_Caso_Propuesto[[#This Row],[Precio]]</f>
        <v>53401590</v>
      </c>
      <c r="N111" s="1" t="str">
        <f>IFERROR(Data_Caso_Propuesto[[#This Row],[Precio]]/Data_Caso_Propuesto[[#This Row],[Area Terreno]],"")</f>
        <v/>
      </c>
      <c r="O111" s="1" t="str">
        <f>IFERROR((Data_Caso_Propuesto[[#This Row],[Precio]]/Data_Caso_Propuesto[[#This Row],[Area Terreno]])/1000000,"")</f>
        <v/>
      </c>
      <c r="P111" s="1"/>
    </row>
    <row r="112" spans="1:16" x14ac:dyDescent="0.25">
      <c r="A112" t="s">
        <v>279</v>
      </c>
      <c r="B112" t="s">
        <v>280</v>
      </c>
      <c r="C112" t="s">
        <v>45</v>
      </c>
      <c r="D112" t="s">
        <v>15</v>
      </c>
      <c r="E112" t="s">
        <v>1080</v>
      </c>
      <c r="F112" s="3" t="s">
        <v>16</v>
      </c>
      <c r="G112" s="3" t="s">
        <v>16</v>
      </c>
      <c r="H112" t="s">
        <v>51</v>
      </c>
      <c r="I112" t="s">
        <v>18</v>
      </c>
      <c r="J112">
        <v>50600000</v>
      </c>
      <c r="K112" t="s">
        <v>68</v>
      </c>
      <c r="L112" t="s">
        <v>15</v>
      </c>
      <c r="M112" s="1">
        <f>Data_Caso_Propuesto[[#This Row],[Precio]]</f>
        <v>50600000</v>
      </c>
      <c r="N112" s="1" t="str">
        <f>IFERROR(Data_Caso_Propuesto[[#This Row],[Precio]]/Data_Caso_Propuesto[[#This Row],[Area Terreno]],"")</f>
        <v/>
      </c>
      <c r="O112" s="1" t="str">
        <f>IFERROR((Data_Caso_Propuesto[[#This Row],[Precio]]/Data_Caso_Propuesto[[#This Row],[Area Terreno]])/1000000,"")</f>
        <v/>
      </c>
      <c r="P112" s="1"/>
    </row>
    <row r="113" spans="1:16" x14ac:dyDescent="0.25">
      <c r="A113" t="s">
        <v>281</v>
      </c>
      <c r="B113" t="s">
        <v>13</v>
      </c>
      <c r="C113" t="s">
        <v>14</v>
      </c>
      <c r="D113" t="s">
        <v>15</v>
      </c>
      <c r="E113" t="s">
        <v>1081</v>
      </c>
      <c r="F113" s="3" t="s">
        <v>16</v>
      </c>
      <c r="G113" s="3" t="s">
        <v>16</v>
      </c>
      <c r="H113" t="s">
        <v>22</v>
      </c>
      <c r="I113" t="s">
        <v>18</v>
      </c>
      <c r="J113">
        <v>3336090000</v>
      </c>
      <c r="K113" t="s">
        <v>62</v>
      </c>
      <c r="L113" t="s">
        <v>15</v>
      </c>
      <c r="M113" s="1">
        <f>Data_Caso_Propuesto[[#This Row],[Precio]]</f>
        <v>3336090000</v>
      </c>
      <c r="N113" s="1" t="str">
        <f>IFERROR(Data_Caso_Propuesto[[#This Row],[Precio]]/Data_Caso_Propuesto[[#This Row],[Area Terreno]],"")</f>
        <v/>
      </c>
      <c r="O113" s="1" t="str">
        <f>IFERROR((Data_Caso_Propuesto[[#This Row],[Precio]]/Data_Caso_Propuesto[[#This Row],[Area Terreno]])/1000000,"")</f>
        <v/>
      </c>
      <c r="P113" s="1"/>
    </row>
    <row r="114" spans="1:16" x14ac:dyDescent="0.25">
      <c r="A114" t="s">
        <v>282</v>
      </c>
      <c r="B114" t="s">
        <v>13</v>
      </c>
      <c r="C114" t="s">
        <v>14</v>
      </c>
      <c r="D114" t="s">
        <v>15</v>
      </c>
      <c r="E114" t="s">
        <v>283</v>
      </c>
      <c r="F114" s="3" t="s">
        <v>16</v>
      </c>
      <c r="G114" s="3" t="s">
        <v>16</v>
      </c>
      <c r="H114" t="s">
        <v>17</v>
      </c>
      <c r="I114" t="s">
        <v>18</v>
      </c>
      <c r="J114">
        <v>42570000</v>
      </c>
      <c r="K114" t="s">
        <v>102</v>
      </c>
      <c r="L114" t="s">
        <v>15</v>
      </c>
      <c r="M114" s="1">
        <f>Data_Caso_Propuesto[[#This Row],[Precio]]</f>
        <v>42570000</v>
      </c>
      <c r="N114" s="1" t="str">
        <f>IFERROR(Data_Caso_Propuesto[[#This Row],[Precio]]/Data_Caso_Propuesto[[#This Row],[Area Terreno]],"")</f>
        <v/>
      </c>
      <c r="O114" s="1" t="str">
        <f>IFERROR((Data_Caso_Propuesto[[#This Row],[Precio]]/Data_Caso_Propuesto[[#This Row],[Area Terreno]])/1000000,"")</f>
        <v/>
      </c>
      <c r="P114" s="1"/>
    </row>
    <row r="115" spans="1:16" x14ac:dyDescent="0.25">
      <c r="A115" t="s">
        <v>284</v>
      </c>
      <c r="B115" t="s">
        <v>93</v>
      </c>
      <c r="C115" t="s">
        <v>45</v>
      </c>
      <c r="D115" t="s">
        <v>15</v>
      </c>
      <c r="E115" t="s">
        <v>285</v>
      </c>
      <c r="F115" s="3" t="s">
        <v>16</v>
      </c>
      <c r="G115" s="3" t="s">
        <v>16</v>
      </c>
      <c r="H115" t="s">
        <v>22</v>
      </c>
      <c r="I115" t="s">
        <v>23</v>
      </c>
      <c r="J115">
        <v>40468000</v>
      </c>
      <c r="K115" t="s">
        <v>102</v>
      </c>
      <c r="L115" t="s">
        <v>15</v>
      </c>
      <c r="M115" s="1">
        <f>Data_Caso_Propuesto[[#This Row],[Precio]]</f>
        <v>40468000</v>
      </c>
      <c r="N115" s="1" t="str">
        <f>IFERROR(Data_Caso_Propuesto[[#This Row],[Precio]]/Data_Caso_Propuesto[[#This Row],[Area Terreno]],"")</f>
        <v/>
      </c>
      <c r="O115" s="1" t="str">
        <f>IFERROR((Data_Caso_Propuesto[[#This Row],[Precio]]/Data_Caso_Propuesto[[#This Row],[Area Terreno]])/1000000,"")</f>
        <v/>
      </c>
      <c r="P115" s="1"/>
    </row>
    <row r="116" spans="1:16" x14ac:dyDescent="0.25">
      <c r="A116" t="s">
        <v>286</v>
      </c>
      <c r="B116" t="s">
        <v>80</v>
      </c>
      <c r="C116" t="s">
        <v>36</v>
      </c>
      <c r="D116" t="s">
        <v>15</v>
      </c>
      <c r="E116" t="s">
        <v>287</v>
      </c>
      <c r="F116" s="3" t="s">
        <v>16</v>
      </c>
      <c r="G116" s="3" t="s">
        <v>16</v>
      </c>
      <c r="H116" t="s">
        <v>51</v>
      </c>
      <c r="I116" t="s">
        <v>41</v>
      </c>
      <c r="J116">
        <v>38149440</v>
      </c>
      <c r="K116" t="s">
        <v>46</v>
      </c>
      <c r="L116" t="s">
        <v>1082</v>
      </c>
      <c r="M116" s="1">
        <f>Data_Caso_Propuesto[[#This Row],[Precio]]</f>
        <v>38149440</v>
      </c>
      <c r="N116" s="1" t="str">
        <f>IFERROR(Data_Caso_Propuesto[[#This Row],[Precio]]/Data_Caso_Propuesto[[#This Row],[Area Terreno]],"")</f>
        <v/>
      </c>
      <c r="O116" s="1" t="str">
        <f>IFERROR((Data_Caso_Propuesto[[#This Row],[Precio]]/Data_Caso_Propuesto[[#This Row],[Area Terreno]])/1000000,"")</f>
        <v/>
      </c>
      <c r="P116" s="1"/>
    </row>
    <row r="117" spans="1:16" x14ac:dyDescent="0.25">
      <c r="A117" t="s">
        <v>288</v>
      </c>
      <c r="B117" t="s">
        <v>93</v>
      </c>
      <c r="C117" t="s">
        <v>45</v>
      </c>
      <c r="D117" t="s">
        <v>15</v>
      </c>
      <c r="E117" t="s">
        <v>289</v>
      </c>
      <c r="F117" s="3" t="s">
        <v>16</v>
      </c>
      <c r="G117" s="3" t="s">
        <v>16</v>
      </c>
      <c r="H117" t="s">
        <v>22</v>
      </c>
      <c r="I117" t="s">
        <v>23</v>
      </c>
      <c r="J117">
        <v>37509500</v>
      </c>
      <c r="K117" t="s">
        <v>102</v>
      </c>
      <c r="L117" t="s">
        <v>15</v>
      </c>
      <c r="M117" s="1">
        <f>Data_Caso_Propuesto[[#This Row],[Precio]]</f>
        <v>37509500</v>
      </c>
      <c r="N117" s="1" t="str">
        <f>IFERROR(Data_Caso_Propuesto[[#This Row],[Precio]]/Data_Caso_Propuesto[[#This Row],[Area Terreno]],"")</f>
        <v/>
      </c>
      <c r="O117" s="1" t="str">
        <f>IFERROR((Data_Caso_Propuesto[[#This Row],[Precio]]/Data_Caso_Propuesto[[#This Row],[Area Terreno]])/1000000,"")</f>
        <v/>
      </c>
      <c r="P117" s="1"/>
    </row>
    <row r="118" spans="1:16" x14ac:dyDescent="0.25">
      <c r="A118" t="s">
        <v>290</v>
      </c>
      <c r="B118" t="s">
        <v>93</v>
      </c>
      <c r="C118" t="s">
        <v>45</v>
      </c>
      <c r="D118" t="s">
        <v>15</v>
      </c>
      <c r="E118" t="s">
        <v>291</v>
      </c>
      <c r="F118" s="3" t="s">
        <v>16</v>
      </c>
      <c r="G118" s="3" t="s">
        <v>16</v>
      </c>
      <c r="H118" t="s">
        <v>22</v>
      </c>
      <c r="I118" t="s">
        <v>23</v>
      </c>
      <c r="J118">
        <v>36039500</v>
      </c>
      <c r="K118" t="s">
        <v>102</v>
      </c>
      <c r="L118" t="s">
        <v>15</v>
      </c>
      <c r="M118" s="1">
        <f>Data_Caso_Propuesto[[#This Row],[Precio]]</f>
        <v>36039500</v>
      </c>
      <c r="N118" s="1" t="str">
        <f>IFERROR(Data_Caso_Propuesto[[#This Row],[Precio]]/Data_Caso_Propuesto[[#This Row],[Area Terreno]],"")</f>
        <v/>
      </c>
      <c r="O118" s="1" t="str">
        <f>IFERROR((Data_Caso_Propuesto[[#This Row],[Precio]]/Data_Caso_Propuesto[[#This Row],[Area Terreno]])/1000000,"")</f>
        <v/>
      </c>
      <c r="P118" s="1"/>
    </row>
    <row r="119" spans="1:16" x14ac:dyDescent="0.25">
      <c r="A119" t="s">
        <v>292</v>
      </c>
      <c r="B119" t="s">
        <v>70</v>
      </c>
      <c r="C119" t="s">
        <v>71</v>
      </c>
      <c r="D119" t="s">
        <v>149</v>
      </c>
      <c r="E119" t="s">
        <v>1083</v>
      </c>
      <c r="F119" s="3" t="s">
        <v>16</v>
      </c>
      <c r="G119" s="3" t="s">
        <v>16</v>
      </c>
      <c r="H119" t="s">
        <v>17</v>
      </c>
      <c r="I119" t="s">
        <v>81</v>
      </c>
      <c r="J119">
        <v>34015370</v>
      </c>
      <c r="K119" t="s">
        <v>68</v>
      </c>
      <c r="L119" t="s">
        <v>15</v>
      </c>
      <c r="M119" s="1">
        <f>Data_Caso_Propuesto[[#This Row],[Precio]]</f>
        <v>34015370</v>
      </c>
      <c r="N119" s="1" t="str">
        <f>IFERROR(Data_Caso_Propuesto[[#This Row],[Precio]]/Data_Caso_Propuesto[[#This Row],[Area Terreno]],"")</f>
        <v/>
      </c>
      <c r="O119" s="1" t="str">
        <f>IFERROR((Data_Caso_Propuesto[[#This Row],[Precio]]/Data_Caso_Propuesto[[#This Row],[Area Terreno]])/1000000,"")</f>
        <v/>
      </c>
      <c r="P119" s="1"/>
    </row>
    <row r="120" spans="1:16" x14ac:dyDescent="0.25">
      <c r="A120" t="s">
        <v>293</v>
      </c>
      <c r="B120" t="s">
        <v>111</v>
      </c>
      <c r="C120" t="s">
        <v>112</v>
      </c>
      <c r="D120" t="s">
        <v>15</v>
      </c>
      <c r="E120" t="s">
        <v>294</v>
      </c>
      <c r="F120" s="3" t="s">
        <v>16</v>
      </c>
      <c r="G120" s="3" t="s">
        <v>16</v>
      </c>
      <c r="H120" t="s">
        <v>22</v>
      </c>
      <c r="I120" t="s">
        <v>61</v>
      </c>
      <c r="J120">
        <v>1764406000</v>
      </c>
      <c r="K120" t="s">
        <v>62</v>
      </c>
      <c r="L120" t="s">
        <v>1084</v>
      </c>
      <c r="M120" s="1">
        <f>Data_Caso_Propuesto[[#This Row],[Precio]]</f>
        <v>1764406000</v>
      </c>
      <c r="N120" s="1" t="str">
        <f>IFERROR(Data_Caso_Propuesto[[#This Row],[Precio]]/Data_Caso_Propuesto[[#This Row],[Area Terreno]],"")</f>
        <v/>
      </c>
      <c r="O120" s="1" t="str">
        <f>IFERROR((Data_Caso_Propuesto[[#This Row],[Precio]]/Data_Caso_Propuesto[[#This Row],[Area Terreno]])/1000000,"")</f>
        <v/>
      </c>
      <c r="P120" s="1"/>
    </row>
    <row r="121" spans="1:16" x14ac:dyDescent="0.25">
      <c r="A121" t="s">
        <v>295</v>
      </c>
      <c r="B121" t="s">
        <v>93</v>
      </c>
      <c r="C121" t="s">
        <v>45</v>
      </c>
      <c r="D121" t="s">
        <v>15</v>
      </c>
      <c r="E121" t="s">
        <v>296</v>
      </c>
      <c r="F121" s="3" t="s">
        <v>16</v>
      </c>
      <c r="G121" s="3" t="s">
        <v>16</v>
      </c>
      <c r="H121" t="s">
        <v>22</v>
      </c>
      <c r="I121" t="s">
        <v>23</v>
      </c>
      <c r="J121">
        <v>31335500</v>
      </c>
      <c r="K121" t="s">
        <v>102</v>
      </c>
      <c r="L121" t="s">
        <v>15</v>
      </c>
      <c r="M121" s="1">
        <f>Data_Caso_Propuesto[[#This Row],[Precio]]</f>
        <v>31335500</v>
      </c>
      <c r="N121" s="1" t="str">
        <f>IFERROR(Data_Caso_Propuesto[[#This Row],[Precio]]/Data_Caso_Propuesto[[#This Row],[Area Terreno]],"")</f>
        <v/>
      </c>
      <c r="O121" s="1" t="str">
        <f>IFERROR((Data_Caso_Propuesto[[#This Row],[Precio]]/Data_Caso_Propuesto[[#This Row],[Area Terreno]])/1000000,"")</f>
        <v/>
      </c>
      <c r="P121" s="1"/>
    </row>
    <row r="122" spans="1:16" x14ac:dyDescent="0.25">
      <c r="A122" t="s">
        <v>297</v>
      </c>
      <c r="B122" t="s">
        <v>80</v>
      </c>
      <c r="C122" t="s">
        <v>36</v>
      </c>
      <c r="D122" t="s">
        <v>15</v>
      </c>
      <c r="E122" t="s">
        <v>298</v>
      </c>
      <c r="F122" s="3" t="s">
        <v>16</v>
      </c>
      <c r="G122" s="3" t="s">
        <v>16</v>
      </c>
      <c r="H122" t="s">
        <v>51</v>
      </c>
      <c r="I122" t="s">
        <v>41</v>
      </c>
      <c r="J122">
        <v>31062880</v>
      </c>
      <c r="K122" t="s">
        <v>46</v>
      </c>
      <c r="L122" t="s">
        <v>1082</v>
      </c>
      <c r="M122" s="1">
        <f>Data_Caso_Propuesto[[#This Row],[Precio]]</f>
        <v>31062880</v>
      </c>
      <c r="N122" s="1" t="str">
        <f>IFERROR(Data_Caso_Propuesto[[#This Row],[Precio]]/Data_Caso_Propuesto[[#This Row],[Area Terreno]],"")</f>
        <v/>
      </c>
      <c r="O122" s="1" t="str">
        <f>IFERROR((Data_Caso_Propuesto[[#This Row],[Precio]]/Data_Caso_Propuesto[[#This Row],[Area Terreno]])/1000000,"")</f>
        <v/>
      </c>
      <c r="P122" s="1"/>
    </row>
    <row r="123" spans="1:16" x14ac:dyDescent="0.25">
      <c r="A123" t="s">
        <v>299</v>
      </c>
      <c r="B123" t="s">
        <v>13</v>
      </c>
      <c r="C123" t="s">
        <v>14</v>
      </c>
      <c r="D123" t="s">
        <v>15</v>
      </c>
      <c r="E123" t="s">
        <v>300</v>
      </c>
      <c r="F123" s="3" t="s">
        <v>16</v>
      </c>
      <c r="G123" s="3" t="s">
        <v>16</v>
      </c>
      <c r="H123" t="s">
        <v>17</v>
      </c>
      <c r="I123" t="s">
        <v>18</v>
      </c>
      <c r="J123">
        <v>30368800</v>
      </c>
      <c r="K123" t="s">
        <v>102</v>
      </c>
      <c r="L123" t="s">
        <v>15</v>
      </c>
      <c r="M123" s="1">
        <f>Data_Caso_Propuesto[[#This Row],[Precio]]</f>
        <v>30368800</v>
      </c>
      <c r="N123" s="1" t="str">
        <f>IFERROR(Data_Caso_Propuesto[[#This Row],[Precio]]/Data_Caso_Propuesto[[#This Row],[Area Terreno]],"")</f>
        <v/>
      </c>
      <c r="O123" s="1" t="str">
        <f>IFERROR((Data_Caso_Propuesto[[#This Row],[Precio]]/Data_Caso_Propuesto[[#This Row],[Area Terreno]])/1000000,"")</f>
        <v/>
      </c>
      <c r="P123" s="1"/>
    </row>
    <row r="124" spans="1:16" x14ac:dyDescent="0.25">
      <c r="A124" t="s">
        <v>301</v>
      </c>
      <c r="B124" t="s">
        <v>93</v>
      </c>
      <c r="C124" t="s">
        <v>45</v>
      </c>
      <c r="D124" t="s">
        <v>15</v>
      </c>
      <c r="E124" t="s">
        <v>302</v>
      </c>
      <c r="F124" s="3" t="s">
        <v>16</v>
      </c>
      <c r="G124" s="3" t="s">
        <v>16</v>
      </c>
      <c r="H124" t="s">
        <v>22</v>
      </c>
      <c r="I124" t="s">
        <v>23</v>
      </c>
      <c r="J124">
        <v>29596000</v>
      </c>
      <c r="K124" t="s">
        <v>102</v>
      </c>
      <c r="L124" t="s">
        <v>15</v>
      </c>
      <c r="M124" s="1">
        <f>Data_Caso_Propuesto[[#This Row],[Precio]]</f>
        <v>29596000</v>
      </c>
      <c r="N124" s="1" t="str">
        <f>IFERROR(Data_Caso_Propuesto[[#This Row],[Precio]]/Data_Caso_Propuesto[[#This Row],[Area Terreno]],"")</f>
        <v/>
      </c>
      <c r="O124" s="1" t="str">
        <f>IFERROR((Data_Caso_Propuesto[[#This Row],[Precio]]/Data_Caso_Propuesto[[#This Row],[Area Terreno]])/1000000,"")</f>
        <v/>
      </c>
      <c r="P124" s="1"/>
    </row>
    <row r="125" spans="1:16" x14ac:dyDescent="0.25">
      <c r="A125" t="s">
        <v>303</v>
      </c>
      <c r="B125" t="s">
        <v>93</v>
      </c>
      <c r="C125" t="s">
        <v>45</v>
      </c>
      <c r="D125" t="s">
        <v>15</v>
      </c>
      <c r="E125" t="s">
        <v>304</v>
      </c>
      <c r="F125" s="3" t="s">
        <v>16</v>
      </c>
      <c r="G125" s="3" t="s">
        <v>16</v>
      </c>
      <c r="H125" t="s">
        <v>22</v>
      </c>
      <c r="I125" t="s">
        <v>23</v>
      </c>
      <c r="J125">
        <v>29596000</v>
      </c>
      <c r="K125" t="s">
        <v>102</v>
      </c>
      <c r="L125" t="s">
        <v>15</v>
      </c>
      <c r="M125" s="1">
        <f>Data_Caso_Propuesto[[#This Row],[Precio]]</f>
        <v>29596000</v>
      </c>
      <c r="N125" s="1" t="str">
        <f>IFERROR(Data_Caso_Propuesto[[#This Row],[Precio]]/Data_Caso_Propuesto[[#This Row],[Area Terreno]],"")</f>
        <v/>
      </c>
      <c r="O125" s="1" t="str">
        <f>IFERROR((Data_Caso_Propuesto[[#This Row],[Precio]]/Data_Caso_Propuesto[[#This Row],[Area Terreno]])/1000000,"")</f>
        <v/>
      </c>
      <c r="P125" s="1"/>
    </row>
    <row r="126" spans="1:16" x14ac:dyDescent="0.25">
      <c r="A126" t="s">
        <v>305</v>
      </c>
      <c r="B126" t="s">
        <v>93</v>
      </c>
      <c r="C126" t="s">
        <v>45</v>
      </c>
      <c r="D126" t="s">
        <v>15</v>
      </c>
      <c r="E126" t="s">
        <v>306</v>
      </c>
      <c r="F126" s="3" t="s">
        <v>16</v>
      </c>
      <c r="G126" s="3" t="s">
        <v>16</v>
      </c>
      <c r="H126" t="s">
        <v>22</v>
      </c>
      <c r="I126" t="s">
        <v>23</v>
      </c>
      <c r="J126">
        <v>29596000</v>
      </c>
      <c r="K126" t="s">
        <v>102</v>
      </c>
      <c r="L126" t="s">
        <v>15</v>
      </c>
      <c r="M126" s="1">
        <f>Data_Caso_Propuesto[[#This Row],[Precio]]</f>
        <v>29596000</v>
      </c>
      <c r="N126" s="1" t="str">
        <f>IFERROR(Data_Caso_Propuesto[[#This Row],[Precio]]/Data_Caso_Propuesto[[#This Row],[Area Terreno]],"")</f>
        <v/>
      </c>
      <c r="O126" s="1" t="str">
        <f>IFERROR((Data_Caso_Propuesto[[#This Row],[Precio]]/Data_Caso_Propuesto[[#This Row],[Area Terreno]])/1000000,"")</f>
        <v/>
      </c>
      <c r="P126" s="1"/>
    </row>
    <row r="127" spans="1:16" x14ac:dyDescent="0.25">
      <c r="A127" t="s">
        <v>307</v>
      </c>
      <c r="B127" t="s">
        <v>93</v>
      </c>
      <c r="C127" t="s">
        <v>45</v>
      </c>
      <c r="D127" t="s">
        <v>15</v>
      </c>
      <c r="E127" t="s">
        <v>308</v>
      </c>
      <c r="F127" s="3" t="s">
        <v>16</v>
      </c>
      <c r="G127" s="3" t="s">
        <v>16</v>
      </c>
      <c r="H127" t="s">
        <v>22</v>
      </c>
      <c r="I127" t="s">
        <v>23</v>
      </c>
      <c r="J127">
        <v>29596000</v>
      </c>
      <c r="K127" t="s">
        <v>102</v>
      </c>
      <c r="L127" t="s">
        <v>15</v>
      </c>
      <c r="M127" s="1">
        <f>Data_Caso_Propuesto[[#This Row],[Precio]]</f>
        <v>29596000</v>
      </c>
      <c r="N127" s="1" t="str">
        <f>IFERROR(Data_Caso_Propuesto[[#This Row],[Precio]]/Data_Caso_Propuesto[[#This Row],[Area Terreno]],"")</f>
        <v/>
      </c>
      <c r="O127" s="1" t="str">
        <f>IFERROR((Data_Caso_Propuesto[[#This Row],[Precio]]/Data_Caso_Propuesto[[#This Row],[Area Terreno]])/1000000,"")</f>
        <v/>
      </c>
      <c r="P127" s="1"/>
    </row>
    <row r="128" spans="1:16" x14ac:dyDescent="0.25">
      <c r="A128" t="s">
        <v>309</v>
      </c>
      <c r="B128" t="s">
        <v>80</v>
      </c>
      <c r="C128" t="s">
        <v>36</v>
      </c>
      <c r="D128" t="s">
        <v>310</v>
      </c>
      <c r="E128" t="s">
        <v>311</v>
      </c>
      <c r="F128" s="3" t="s">
        <v>16</v>
      </c>
      <c r="G128" s="3" t="s">
        <v>16</v>
      </c>
      <c r="H128" t="s">
        <v>22</v>
      </c>
      <c r="I128" t="s">
        <v>41</v>
      </c>
      <c r="J128">
        <v>2940740352</v>
      </c>
      <c r="K128" t="s">
        <v>42</v>
      </c>
      <c r="L128" t="s">
        <v>1085</v>
      </c>
      <c r="M128" s="1">
        <f>Data_Caso_Propuesto[[#This Row],[Precio]]</f>
        <v>2940740352</v>
      </c>
      <c r="N128" s="1" t="str">
        <f>IFERROR(Data_Caso_Propuesto[[#This Row],[Precio]]/Data_Caso_Propuesto[[#This Row],[Area Terreno]],"")</f>
        <v/>
      </c>
      <c r="O128" s="1" t="str">
        <f>IFERROR((Data_Caso_Propuesto[[#This Row],[Precio]]/Data_Caso_Propuesto[[#This Row],[Area Terreno]])/1000000,"")</f>
        <v/>
      </c>
      <c r="P128" s="1"/>
    </row>
    <row r="129" spans="1:16" x14ac:dyDescent="0.25">
      <c r="A129" t="s">
        <v>312</v>
      </c>
      <c r="B129" t="s">
        <v>13</v>
      </c>
      <c r="C129" t="s">
        <v>14</v>
      </c>
      <c r="D129" t="s">
        <v>15</v>
      </c>
      <c r="E129" t="s">
        <v>313</v>
      </c>
      <c r="F129" s="3" t="s">
        <v>16</v>
      </c>
      <c r="G129" s="3" t="s">
        <v>16</v>
      </c>
      <c r="H129" t="s">
        <v>22</v>
      </c>
      <c r="I129" t="s">
        <v>72</v>
      </c>
      <c r="J129">
        <v>29185200</v>
      </c>
      <c r="K129" t="s">
        <v>314</v>
      </c>
      <c r="L129" t="s">
        <v>15</v>
      </c>
      <c r="M129" s="1">
        <f>Data_Caso_Propuesto[[#This Row],[Precio]]</f>
        <v>29185200</v>
      </c>
      <c r="N129" s="1" t="str">
        <f>IFERROR(Data_Caso_Propuesto[[#This Row],[Precio]]/Data_Caso_Propuesto[[#This Row],[Area Terreno]],"")</f>
        <v/>
      </c>
      <c r="O129" s="1" t="str">
        <f>IFERROR((Data_Caso_Propuesto[[#This Row],[Precio]]/Data_Caso_Propuesto[[#This Row],[Area Terreno]])/1000000,"")</f>
        <v/>
      </c>
      <c r="P129" s="1"/>
    </row>
    <row r="130" spans="1:16" x14ac:dyDescent="0.25">
      <c r="A130" t="s">
        <v>315</v>
      </c>
      <c r="B130" t="s">
        <v>13</v>
      </c>
      <c r="C130" t="s">
        <v>14</v>
      </c>
      <c r="D130" t="s">
        <v>15</v>
      </c>
      <c r="E130" t="s">
        <v>316</v>
      </c>
      <c r="F130" s="3" t="s">
        <v>16</v>
      </c>
      <c r="G130" s="3" t="s">
        <v>16</v>
      </c>
      <c r="H130" t="s">
        <v>22</v>
      </c>
      <c r="I130" t="s">
        <v>72</v>
      </c>
      <c r="J130">
        <v>28981920</v>
      </c>
      <c r="K130" t="s">
        <v>314</v>
      </c>
      <c r="L130" t="s">
        <v>15</v>
      </c>
      <c r="M130" s="1">
        <f>Data_Caso_Propuesto[[#This Row],[Precio]]</f>
        <v>28981920</v>
      </c>
      <c r="N130" s="1" t="str">
        <f>IFERROR(Data_Caso_Propuesto[[#This Row],[Precio]]/Data_Caso_Propuesto[[#This Row],[Area Terreno]],"")</f>
        <v/>
      </c>
      <c r="O130" s="1" t="str">
        <f>IFERROR((Data_Caso_Propuesto[[#This Row],[Precio]]/Data_Caso_Propuesto[[#This Row],[Area Terreno]])/1000000,"")</f>
        <v/>
      </c>
      <c r="P130" s="1"/>
    </row>
    <row r="131" spans="1:16" x14ac:dyDescent="0.25">
      <c r="A131" t="s">
        <v>317</v>
      </c>
      <c r="B131" t="s">
        <v>93</v>
      </c>
      <c r="C131" t="s">
        <v>45</v>
      </c>
      <c r="D131" t="s">
        <v>15</v>
      </c>
      <c r="E131" t="s">
        <v>318</v>
      </c>
      <c r="F131" s="3" t="s">
        <v>16</v>
      </c>
      <c r="G131" s="3" t="s">
        <v>16</v>
      </c>
      <c r="H131" t="s">
        <v>22</v>
      </c>
      <c r="I131" t="s">
        <v>23</v>
      </c>
      <c r="J131">
        <v>28959000</v>
      </c>
      <c r="K131" t="s">
        <v>102</v>
      </c>
      <c r="L131" t="s">
        <v>15</v>
      </c>
      <c r="M131" s="1">
        <f>Data_Caso_Propuesto[[#This Row],[Precio]]</f>
        <v>28959000</v>
      </c>
      <c r="N131" s="1" t="str">
        <f>IFERROR(Data_Caso_Propuesto[[#This Row],[Precio]]/Data_Caso_Propuesto[[#This Row],[Area Terreno]],"")</f>
        <v/>
      </c>
      <c r="O131" s="1" t="str">
        <f>IFERROR((Data_Caso_Propuesto[[#This Row],[Precio]]/Data_Caso_Propuesto[[#This Row],[Area Terreno]])/1000000,"")</f>
        <v/>
      </c>
      <c r="P131" s="1"/>
    </row>
    <row r="132" spans="1:16" x14ac:dyDescent="0.25">
      <c r="A132" t="s">
        <v>319</v>
      </c>
      <c r="B132" t="s">
        <v>320</v>
      </c>
      <c r="C132" t="s">
        <v>14</v>
      </c>
      <c r="D132" t="s">
        <v>15</v>
      </c>
      <c r="E132" t="s">
        <v>321</v>
      </c>
      <c r="F132" s="3" t="s">
        <v>16</v>
      </c>
      <c r="G132" s="3" t="s">
        <v>16</v>
      </c>
      <c r="H132" t="s">
        <v>17</v>
      </c>
      <c r="I132" t="s">
        <v>23</v>
      </c>
      <c r="J132">
        <v>842625175</v>
      </c>
      <c r="K132" t="s">
        <v>102</v>
      </c>
      <c r="L132" t="s">
        <v>15</v>
      </c>
      <c r="M132" s="1">
        <f>Data_Caso_Propuesto[[#This Row],[Precio]]</f>
        <v>842625175</v>
      </c>
      <c r="N132" s="1" t="str">
        <f>IFERROR(Data_Caso_Propuesto[[#This Row],[Precio]]/Data_Caso_Propuesto[[#This Row],[Area Terreno]],"")</f>
        <v/>
      </c>
      <c r="O132" s="1" t="str">
        <f>IFERROR((Data_Caso_Propuesto[[#This Row],[Precio]]/Data_Caso_Propuesto[[#This Row],[Area Terreno]])/1000000,"")</f>
        <v/>
      </c>
      <c r="P132" s="1"/>
    </row>
    <row r="133" spans="1:16" x14ac:dyDescent="0.25">
      <c r="A133" t="s">
        <v>322</v>
      </c>
      <c r="B133" t="s">
        <v>70</v>
      </c>
      <c r="C133" t="s">
        <v>71</v>
      </c>
      <c r="D133" t="s">
        <v>149</v>
      </c>
      <c r="E133" t="s">
        <v>1086</v>
      </c>
      <c r="F133" s="3" t="s">
        <v>16</v>
      </c>
      <c r="G133" s="3" t="s">
        <v>16</v>
      </c>
      <c r="H133" t="s">
        <v>77</v>
      </c>
      <c r="I133" t="s">
        <v>31</v>
      </c>
      <c r="J133">
        <v>2842789282</v>
      </c>
      <c r="K133" t="s">
        <v>68</v>
      </c>
      <c r="L133" t="s">
        <v>15</v>
      </c>
      <c r="M133" s="1">
        <f>Data_Caso_Propuesto[[#This Row],[Precio]]</f>
        <v>2842789282</v>
      </c>
      <c r="N133" s="1" t="str">
        <f>IFERROR(Data_Caso_Propuesto[[#This Row],[Precio]]/Data_Caso_Propuesto[[#This Row],[Area Terreno]],"")</f>
        <v/>
      </c>
      <c r="O133" s="1" t="str">
        <f>IFERROR((Data_Caso_Propuesto[[#This Row],[Precio]]/Data_Caso_Propuesto[[#This Row],[Area Terreno]])/1000000,"")</f>
        <v/>
      </c>
      <c r="P133" s="1"/>
    </row>
    <row r="134" spans="1:16" x14ac:dyDescent="0.25">
      <c r="A134" t="s">
        <v>323</v>
      </c>
      <c r="B134" t="s">
        <v>111</v>
      </c>
      <c r="C134" t="s">
        <v>112</v>
      </c>
      <c r="D134" t="s">
        <v>15</v>
      </c>
      <c r="E134" t="s">
        <v>324</v>
      </c>
      <c r="F134" s="3" t="s">
        <v>16</v>
      </c>
      <c r="G134" s="3" t="s">
        <v>16</v>
      </c>
      <c r="H134" t="s">
        <v>17</v>
      </c>
      <c r="I134" t="s">
        <v>61</v>
      </c>
      <c r="J134">
        <v>1504512000</v>
      </c>
      <c r="K134" t="s">
        <v>62</v>
      </c>
      <c r="L134" t="s">
        <v>1084</v>
      </c>
      <c r="M134" s="1">
        <f>Data_Caso_Propuesto[[#This Row],[Precio]]</f>
        <v>1504512000</v>
      </c>
      <c r="N134" s="1" t="str">
        <f>IFERROR(Data_Caso_Propuesto[[#This Row],[Precio]]/Data_Caso_Propuesto[[#This Row],[Area Terreno]],"")</f>
        <v/>
      </c>
      <c r="O134" s="1" t="str">
        <f>IFERROR((Data_Caso_Propuesto[[#This Row],[Precio]]/Data_Caso_Propuesto[[#This Row],[Area Terreno]])/1000000,"")</f>
        <v/>
      </c>
      <c r="P134" s="1"/>
    </row>
    <row r="135" spans="1:16" x14ac:dyDescent="0.25">
      <c r="A135" t="s">
        <v>325</v>
      </c>
      <c r="B135" t="s">
        <v>111</v>
      </c>
      <c r="C135" t="s">
        <v>112</v>
      </c>
      <c r="D135" t="s">
        <v>15</v>
      </c>
      <c r="E135" t="s">
        <v>326</v>
      </c>
      <c r="F135" s="3" t="s">
        <v>16</v>
      </c>
      <c r="G135" s="3" t="s">
        <v>16</v>
      </c>
      <c r="H135" t="s">
        <v>17</v>
      </c>
      <c r="I135" t="s">
        <v>61</v>
      </c>
      <c r="J135">
        <v>1452272000</v>
      </c>
      <c r="K135" t="s">
        <v>62</v>
      </c>
      <c r="L135" t="s">
        <v>1084</v>
      </c>
      <c r="M135" s="1">
        <f>Data_Caso_Propuesto[[#This Row],[Precio]]</f>
        <v>1452272000</v>
      </c>
      <c r="N135" s="1" t="str">
        <f>IFERROR(Data_Caso_Propuesto[[#This Row],[Precio]]/Data_Caso_Propuesto[[#This Row],[Area Terreno]],"")</f>
        <v/>
      </c>
      <c r="O135" s="1" t="str">
        <f>IFERROR((Data_Caso_Propuesto[[#This Row],[Precio]]/Data_Caso_Propuesto[[#This Row],[Area Terreno]])/1000000,"")</f>
        <v/>
      </c>
      <c r="P135" s="1"/>
    </row>
    <row r="136" spans="1:16" x14ac:dyDescent="0.25">
      <c r="A136" t="s">
        <v>327</v>
      </c>
      <c r="B136" t="s">
        <v>93</v>
      </c>
      <c r="C136" t="s">
        <v>45</v>
      </c>
      <c r="D136" t="s">
        <v>15</v>
      </c>
      <c r="E136" t="s">
        <v>328</v>
      </c>
      <c r="F136" s="3" t="s">
        <v>16</v>
      </c>
      <c r="G136" s="3" t="s">
        <v>16</v>
      </c>
      <c r="H136" t="s">
        <v>22</v>
      </c>
      <c r="I136" t="s">
        <v>23</v>
      </c>
      <c r="J136">
        <v>27034500</v>
      </c>
      <c r="K136" t="s">
        <v>102</v>
      </c>
      <c r="L136" t="s">
        <v>15</v>
      </c>
      <c r="M136" s="1">
        <f>Data_Caso_Propuesto[[#This Row],[Precio]]</f>
        <v>27034500</v>
      </c>
      <c r="N136" s="1" t="str">
        <f>IFERROR(Data_Caso_Propuesto[[#This Row],[Precio]]/Data_Caso_Propuesto[[#This Row],[Area Terreno]],"")</f>
        <v/>
      </c>
      <c r="O136" s="1" t="str">
        <f>IFERROR((Data_Caso_Propuesto[[#This Row],[Precio]]/Data_Caso_Propuesto[[#This Row],[Area Terreno]])/1000000,"")</f>
        <v/>
      </c>
      <c r="P136" s="1"/>
    </row>
    <row r="137" spans="1:16" x14ac:dyDescent="0.25">
      <c r="A137" t="s">
        <v>329</v>
      </c>
      <c r="B137" t="s">
        <v>330</v>
      </c>
      <c r="C137" t="s">
        <v>36</v>
      </c>
      <c r="D137" t="s">
        <v>331</v>
      </c>
      <c r="E137" t="s">
        <v>332</v>
      </c>
      <c r="F137" s="3" t="s">
        <v>16</v>
      </c>
      <c r="G137" s="3" t="s">
        <v>16</v>
      </c>
      <c r="H137" t="s">
        <v>17</v>
      </c>
      <c r="I137" t="s">
        <v>18</v>
      </c>
      <c r="J137">
        <v>26924299</v>
      </c>
      <c r="K137" t="s">
        <v>68</v>
      </c>
      <c r="L137" t="s">
        <v>15</v>
      </c>
      <c r="M137" s="1">
        <f>Data_Caso_Propuesto[[#This Row],[Precio]]</f>
        <v>26924299</v>
      </c>
      <c r="N137" s="1" t="str">
        <f>IFERROR(Data_Caso_Propuesto[[#This Row],[Precio]]/Data_Caso_Propuesto[[#This Row],[Area Terreno]],"")</f>
        <v/>
      </c>
      <c r="O137" s="1" t="str">
        <f>IFERROR((Data_Caso_Propuesto[[#This Row],[Precio]]/Data_Caso_Propuesto[[#This Row],[Area Terreno]])/1000000,"")</f>
        <v/>
      </c>
      <c r="P137" s="1"/>
    </row>
    <row r="138" spans="1:16" x14ac:dyDescent="0.25">
      <c r="A138" t="s">
        <v>333</v>
      </c>
      <c r="B138" t="s">
        <v>75</v>
      </c>
      <c r="C138" t="s">
        <v>76</v>
      </c>
      <c r="D138" t="s">
        <v>15</v>
      </c>
      <c r="E138" t="s">
        <v>1087</v>
      </c>
      <c r="F138" s="3" t="s">
        <v>16</v>
      </c>
      <c r="G138" s="3" t="s">
        <v>16</v>
      </c>
      <c r="H138" t="s">
        <v>17</v>
      </c>
      <c r="I138" t="s">
        <v>81</v>
      </c>
      <c r="J138">
        <v>1092904000</v>
      </c>
      <c r="K138" t="s">
        <v>62</v>
      </c>
      <c r="L138" t="s">
        <v>15</v>
      </c>
      <c r="M138" s="1">
        <f>Data_Caso_Propuesto[[#This Row],[Precio]]</f>
        <v>1092904000</v>
      </c>
      <c r="N138" s="1" t="str">
        <f>IFERROR(Data_Caso_Propuesto[[#This Row],[Precio]]/Data_Caso_Propuesto[[#This Row],[Area Terreno]],"")</f>
        <v/>
      </c>
      <c r="O138" s="1" t="str">
        <f>IFERROR((Data_Caso_Propuesto[[#This Row],[Precio]]/Data_Caso_Propuesto[[#This Row],[Area Terreno]])/1000000,"")</f>
        <v/>
      </c>
      <c r="P138" s="1"/>
    </row>
    <row r="139" spans="1:16" x14ac:dyDescent="0.25">
      <c r="A139" t="s">
        <v>334</v>
      </c>
      <c r="B139" t="s">
        <v>93</v>
      </c>
      <c r="C139" t="s">
        <v>45</v>
      </c>
      <c r="D139" t="s">
        <v>15</v>
      </c>
      <c r="E139" t="s">
        <v>335</v>
      </c>
      <c r="F139" s="3" t="s">
        <v>16</v>
      </c>
      <c r="G139" s="3" t="s">
        <v>16</v>
      </c>
      <c r="H139" t="s">
        <v>22</v>
      </c>
      <c r="I139" t="s">
        <v>23</v>
      </c>
      <c r="J139">
        <v>26130000</v>
      </c>
      <c r="K139" t="s">
        <v>102</v>
      </c>
      <c r="L139" t="s">
        <v>15</v>
      </c>
      <c r="M139" s="1">
        <f>Data_Caso_Propuesto[[#This Row],[Precio]]</f>
        <v>26130000</v>
      </c>
      <c r="N139" s="1" t="str">
        <f>IFERROR(Data_Caso_Propuesto[[#This Row],[Precio]]/Data_Caso_Propuesto[[#This Row],[Area Terreno]],"")</f>
        <v/>
      </c>
      <c r="O139" s="1" t="str">
        <f>IFERROR((Data_Caso_Propuesto[[#This Row],[Precio]]/Data_Caso_Propuesto[[#This Row],[Area Terreno]])/1000000,"")</f>
        <v/>
      </c>
      <c r="P139" s="1"/>
    </row>
    <row r="140" spans="1:16" x14ac:dyDescent="0.25">
      <c r="A140" t="s">
        <v>336</v>
      </c>
      <c r="B140" t="s">
        <v>93</v>
      </c>
      <c r="C140" t="s">
        <v>45</v>
      </c>
      <c r="D140" t="s">
        <v>15</v>
      </c>
      <c r="E140" t="s">
        <v>337</v>
      </c>
      <c r="F140" s="3" t="s">
        <v>16</v>
      </c>
      <c r="G140" s="3" t="s">
        <v>16</v>
      </c>
      <c r="H140" t="s">
        <v>22</v>
      </c>
      <c r="I140" t="s">
        <v>23</v>
      </c>
      <c r="J140">
        <v>25896500</v>
      </c>
      <c r="K140" t="s">
        <v>102</v>
      </c>
      <c r="L140" t="s">
        <v>15</v>
      </c>
      <c r="M140" s="1">
        <f>Data_Caso_Propuesto[[#This Row],[Precio]]</f>
        <v>25896500</v>
      </c>
      <c r="N140" s="1" t="str">
        <f>IFERROR(Data_Caso_Propuesto[[#This Row],[Precio]]/Data_Caso_Propuesto[[#This Row],[Area Terreno]],"")</f>
        <v/>
      </c>
      <c r="O140" s="1" t="str">
        <f>IFERROR((Data_Caso_Propuesto[[#This Row],[Precio]]/Data_Caso_Propuesto[[#This Row],[Area Terreno]])/1000000,"")</f>
        <v/>
      </c>
      <c r="P140" s="1"/>
    </row>
    <row r="141" spans="1:16" x14ac:dyDescent="0.25">
      <c r="A141" t="s">
        <v>338</v>
      </c>
      <c r="B141" t="s">
        <v>93</v>
      </c>
      <c r="C141" t="s">
        <v>45</v>
      </c>
      <c r="D141" t="s">
        <v>15</v>
      </c>
      <c r="E141" t="s">
        <v>339</v>
      </c>
      <c r="F141" s="3" t="s">
        <v>16</v>
      </c>
      <c r="G141" s="3" t="s">
        <v>16</v>
      </c>
      <c r="H141" t="s">
        <v>22</v>
      </c>
      <c r="I141" t="s">
        <v>23</v>
      </c>
      <c r="J141">
        <v>25406500</v>
      </c>
      <c r="K141" t="s">
        <v>102</v>
      </c>
      <c r="L141" t="s">
        <v>15</v>
      </c>
      <c r="M141" s="1">
        <f>Data_Caso_Propuesto[[#This Row],[Precio]]</f>
        <v>25406500</v>
      </c>
      <c r="N141" s="1" t="str">
        <f>IFERROR(Data_Caso_Propuesto[[#This Row],[Precio]]/Data_Caso_Propuesto[[#This Row],[Area Terreno]],"")</f>
        <v/>
      </c>
      <c r="O141" s="1" t="str">
        <f>IFERROR((Data_Caso_Propuesto[[#This Row],[Precio]]/Data_Caso_Propuesto[[#This Row],[Area Terreno]])/1000000,"")</f>
        <v/>
      </c>
      <c r="P141" s="1"/>
    </row>
    <row r="142" spans="1:16" x14ac:dyDescent="0.25">
      <c r="A142" t="s">
        <v>340</v>
      </c>
      <c r="B142" t="s">
        <v>93</v>
      </c>
      <c r="C142" t="s">
        <v>45</v>
      </c>
      <c r="D142" t="s">
        <v>15</v>
      </c>
      <c r="E142" t="s">
        <v>341</v>
      </c>
      <c r="F142" s="3" t="s">
        <v>16</v>
      </c>
      <c r="G142" s="3" t="s">
        <v>16</v>
      </c>
      <c r="H142" t="s">
        <v>22</v>
      </c>
      <c r="I142" t="s">
        <v>23</v>
      </c>
      <c r="J142">
        <v>25093000</v>
      </c>
      <c r="K142" t="s">
        <v>102</v>
      </c>
      <c r="L142" t="s">
        <v>15</v>
      </c>
      <c r="M142" s="1">
        <f>Data_Caso_Propuesto[[#This Row],[Precio]]</f>
        <v>25093000</v>
      </c>
      <c r="N142" s="1" t="str">
        <f>IFERROR(Data_Caso_Propuesto[[#This Row],[Precio]]/Data_Caso_Propuesto[[#This Row],[Area Terreno]],"")</f>
        <v/>
      </c>
      <c r="O142" s="1" t="str">
        <f>IFERROR((Data_Caso_Propuesto[[#This Row],[Precio]]/Data_Caso_Propuesto[[#This Row],[Area Terreno]])/1000000,"")</f>
        <v/>
      </c>
      <c r="P142" s="1"/>
    </row>
    <row r="143" spans="1:16" x14ac:dyDescent="0.25">
      <c r="A143" t="s">
        <v>342</v>
      </c>
      <c r="B143" t="s">
        <v>89</v>
      </c>
      <c r="C143" t="s">
        <v>49</v>
      </c>
      <c r="D143" t="s">
        <v>15</v>
      </c>
      <c r="E143" t="s">
        <v>1088</v>
      </c>
      <c r="F143" s="3" t="s">
        <v>16</v>
      </c>
      <c r="G143" s="3" t="s">
        <v>16</v>
      </c>
      <c r="H143" t="s">
        <v>77</v>
      </c>
      <c r="I143" t="s">
        <v>23</v>
      </c>
      <c r="J143">
        <v>1599241731</v>
      </c>
      <c r="K143" t="s">
        <v>102</v>
      </c>
      <c r="L143" t="s">
        <v>1089</v>
      </c>
      <c r="M143" s="1">
        <f>Data_Caso_Propuesto[[#This Row],[Precio]]</f>
        <v>1599241731</v>
      </c>
      <c r="N143" s="1" t="str">
        <f>IFERROR(Data_Caso_Propuesto[[#This Row],[Precio]]/Data_Caso_Propuesto[[#This Row],[Area Terreno]],"")</f>
        <v/>
      </c>
      <c r="O143" s="1" t="str">
        <f>IFERROR((Data_Caso_Propuesto[[#This Row],[Precio]]/Data_Caso_Propuesto[[#This Row],[Area Terreno]])/1000000,"")</f>
        <v/>
      </c>
      <c r="P143" s="1"/>
    </row>
    <row r="144" spans="1:16" x14ac:dyDescent="0.25">
      <c r="A144" t="s">
        <v>343</v>
      </c>
      <c r="B144" t="s">
        <v>93</v>
      </c>
      <c r="C144" t="s">
        <v>45</v>
      </c>
      <c r="D144" t="s">
        <v>15</v>
      </c>
      <c r="E144" t="s">
        <v>344</v>
      </c>
      <c r="F144" s="3" t="s">
        <v>16</v>
      </c>
      <c r="G144" s="3" t="s">
        <v>16</v>
      </c>
      <c r="H144" t="s">
        <v>22</v>
      </c>
      <c r="I144" t="s">
        <v>23</v>
      </c>
      <c r="J144">
        <v>24012000</v>
      </c>
      <c r="K144" t="s">
        <v>102</v>
      </c>
      <c r="L144" t="s">
        <v>15</v>
      </c>
      <c r="M144" s="1">
        <f>Data_Caso_Propuesto[[#This Row],[Precio]]</f>
        <v>24012000</v>
      </c>
      <c r="N144" s="1" t="str">
        <f>IFERROR(Data_Caso_Propuesto[[#This Row],[Precio]]/Data_Caso_Propuesto[[#This Row],[Area Terreno]],"")</f>
        <v/>
      </c>
      <c r="O144" s="1" t="str">
        <f>IFERROR((Data_Caso_Propuesto[[#This Row],[Precio]]/Data_Caso_Propuesto[[#This Row],[Area Terreno]])/1000000,"")</f>
        <v/>
      </c>
      <c r="P144" s="1"/>
    </row>
    <row r="145" spans="1:16" x14ac:dyDescent="0.25">
      <c r="A145" t="s">
        <v>345</v>
      </c>
      <c r="B145" t="s">
        <v>93</v>
      </c>
      <c r="C145" t="s">
        <v>45</v>
      </c>
      <c r="D145" t="s">
        <v>15</v>
      </c>
      <c r="E145" t="s">
        <v>346</v>
      </c>
      <c r="F145" s="3" t="s">
        <v>16</v>
      </c>
      <c r="G145" s="3" t="s">
        <v>16</v>
      </c>
      <c r="H145" t="s">
        <v>22</v>
      </c>
      <c r="I145" t="s">
        <v>23</v>
      </c>
      <c r="J145">
        <v>23920000</v>
      </c>
      <c r="K145" t="s">
        <v>102</v>
      </c>
      <c r="L145" t="s">
        <v>15</v>
      </c>
      <c r="M145" s="1">
        <f>Data_Caso_Propuesto[[#This Row],[Precio]]</f>
        <v>23920000</v>
      </c>
      <c r="N145" s="1" t="str">
        <f>IFERROR(Data_Caso_Propuesto[[#This Row],[Precio]]/Data_Caso_Propuesto[[#This Row],[Area Terreno]],"")</f>
        <v/>
      </c>
      <c r="O145" s="1" t="str">
        <f>IFERROR((Data_Caso_Propuesto[[#This Row],[Precio]]/Data_Caso_Propuesto[[#This Row],[Area Terreno]])/1000000,"")</f>
        <v/>
      </c>
      <c r="P145" s="1"/>
    </row>
    <row r="146" spans="1:16" x14ac:dyDescent="0.25">
      <c r="A146" t="s">
        <v>347</v>
      </c>
      <c r="B146" t="s">
        <v>93</v>
      </c>
      <c r="C146" t="s">
        <v>45</v>
      </c>
      <c r="D146" t="s">
        <v>15</v>
      </c>
      <c r="E146" t="s">
        <v>348</v>
      </c>
      <c r="F146" s="3" t="s">
        <v>16</v>
      </c>
      <c r="G146" s="3" t="s">
        <v>16</v>
      </c>
      <c r="H146" t="s">
        <v>22</v>
      </c>
      <c r="I146" t="s">
        <v>23</v>
      </c>
      <c r="J146">
        <v>23920000</v>
      </c>
      <c r="K146" t="s">
        <v>102</v>
      </c>
      <c r="L146" t="s">
        <v>15</v>
      </c>
      <c r="M146" s="1">
        <f>Data_Caso_Propuesto[[#This Row],[Precio]]</f>
        <v>23920000</v>
      </c>
      <c r="N146" s="1" t="str">
        <f>IFERROR(Data_Caso_Propuesto[[#This Row],[Precio]]/Data_Caso_Propuesto[[#This Row],[Area Terreno]],"")</f>
        <v/>
      </c>
      <c r="O146" s="1" t="str">
        <f>IFERROR((Data_Caso_Propuesto[[#This Row],[Precio]]/Data_Caso_Propuesto[[#This Row],[Area Terreno]])/1000000,"")</f>
        <v/>
      </c>
      <c r="P146" s="1"/>
    </row>
    <row r="147" spans="1:16" x14ac:dyDescent="0.25">
      <c r="A147" t="s">
        <v>349</v>
      </c>
      <c r="B147" t="s">
        <v>93</v>
      </c>
      <c r="C147" t="s">
        <v>45</v>
      </c>
      <c r="D147" t="s">
        <v>15</v>
      </c>
      <c r="E147" t="s">
        <v>350</v>
      </c>
      <c r="F147" s="3" t="s">
        <v>16</v>
      </c>
      <c r="G147" s="3" t="s">
        <v>16</v>
      </c>
      <c r="H147" t="s">
        <v>22</v>
      </c>
      <c r="I147" t="s">
        <v>23</v>
      </c>
      <c r="J147">
        <v>23920000</v>
      </c>
      <c r="K147" t="s">
        <v>102</v>
      </c>
      <c r="L147" t="s">
        <v>15</v>
      </c>
      <c r="M147" s="1">
        <f>Data_Caso_Propuesto[[#This Row],[Precio]]</f>
        <v>23920000</v>
      </c>
      <c r="N147" s="1" t="str">
        <f>IFERROR(Data_Caso_Propuesto[[#This Row],[Precio]]/Data_Caso_Propuesto[[#This Row],[Area Terreno]],"")</f>
        <v/>
      </c>
      <c r="O147" s="1" t="str">
        <f>IFERROR((Data_Caso_Propuesto[[#This Row],[Precio]]/Data_Caso_Propuesto[[#This Row],[Area Terreno]])/1000000,"")</f>
        <v/>
      </c>
      <c r="P147" s="1"/>
    </row>
    <row r="148" spans="1:16" x14ac:dyDescent="0.25">
      <c r="A148" t="s">
        <v>351</v>
      </c>
      <c r="B148" t="s">
        <v>111</v>
      </c>
      <c r="C148" t="s">
        <v>112</v>
      </c>
      <c r="D148" t="s">
        <v>15</v>
      </c>
      <c r="E148" t="s">
        <v>352</v>
      </c>
      <c r="F148" s="3" t="s">
        <v>16</v>
      </c>
      <c r="G148" s="3" t="s">
        <v>16</v>
      </c>
      <c r="H148" t="s">
        <v>17</v>
      </c>
      <c r="I148" t="s">
        <v>61</v>
      </c>
      <c r="J148">
        <v>1262902000</v>
      </c>
      <c r="K148" t="s">
        <v>62</v>
      </c>
      <c r="L148" t="s">
        <v>1084</v>
      </c>
      <c r="M148" s="1">
        <f>Data_Caso_Propuesto[[#This Row],[Precio]]</f>
        <v>1262902000</v>
      </c>
      <c r="N148" s="1" t="str">
        <f>IFERROR(Data_Caso_Propuesto[[#This Row],[Precio]]/Data_Caso_Propuesto[[#This Row],[Area Terreno]],"")</f>
        <v/>
      </c>
      <c r="O148" s="1" t="str">
        <f>IFERROR((Data_Caso_Propuesto[[#This Row],[Precio]]/Data_Caso_Propuesto[[#This Row],[Area Terreno]])/1000000,"")</f>
        <v/>
      </c>
      <c r="P148" s="1"/>
    </row>
    <row r="149" spans="1:16" x14ac:dyDescent="0.25">
      <c r="A149" t="s">
        <v>353</v>
      </c>
      <c r="B149" t="s">
        <v>93</v>
      </c>
      <c r="C149" t="s">
        <v>45</v>
      </c>
      <c r="D149" t="s">
        <v>15</v>
      </c>
      <c r="E149" t="s">
        <v>354</v>
      </c>
      <c r="F149" s="3" t="s">
        <v>16</v>
      </c>
      <c r="G149" s="3" t="s">
        <v>16</v>
      </c>
      <c r="H149" t="s">
        <v>22</v>
      </c>
      <c r="I149" t="s">
        <v>23</v>
      </c>
      <c r="J149">
        <v>23517000</v>
      </c>
      <c r="K149" t="s">
        <v>102</v>
      </c>
      <c r="L149" t="s">
        <v>15</v>
      </c>
      <c r="M149" s="1">
        <f>Data_Caso_Propuesto[[#This Row],[Precio]]</f>
        <v>23517000</v>
      </c>
      <c r="N149" s="1" t="str">
        <f>IFERROR(Data_Caso_Propuesto[[#This Row],[Precio]]/Data_Caso_Propuesto[[#This Row],[Area Terreno]],"")</f>
        <v/>
      </c>
      <c r="O149" s="1" t="str">
        <f>IFERROR((Data_Caso_Propuesto[[#This Row],[Precio]]/Data_Caso_Propuesto[[#This Row],[Area Terreno]])/1000000,"")</f>
        <v/>
      </c>
      <c r="P149" s="1"/>
    </row>
    <row r="150" spans="1:16" x14ac:dyDescent="0.25">
      <c r="A150" t="s">
        <v>355</v>
      </c>
      <c r="B150" t="s">
        <v>93</v>
      </c>
      <c r="C150" t="s">
        <v>45</v>
      </c>
      <c r="D150" t="s">
        <v>15</v>
      </c>
      <c r="E150" t="s">
        <v>356</v>
      </c>
      <c r="F150" s="3" t="s">
        <v>16</v>
      </c>
      <c r="G150" s="3" t="s">
        <v>16</v>
      </c>
      <c r="H150" t="s">
        <v>77</v>
      </c>
      <c r="I150" t="s">
        <v>23</v>
      </c>
      <c r="J150">
        <v>23517000</v>
      </c>
      <c r="K150" t="s">
        <v>102</v>
      </c>
      <c r="L150" t="s">
        <v>15</v>
      </c>
      <c r="M150" s="1">
        <f>Data_Caso_Propuesto[[#This Row],[Precio]]</f>
        <v>23517000</v>
      </c>
      <c r="N150" s="1" t="str">
        <f>IFERROR(Data_Caso_Propuesto[[#This Row],[Precio]]/Data_Caso_Propuesto[[#This Row],[Area Terreno]],"")</f>
        <v/>
      </c>
      <c r="O150" s="1" t="str">
        <f>IFERROR((Data_Caso_Propuesto[[#This Row],[Precio]]/Data_Caso_Propuesto[[#This Row],[Area Terreno]])/1000000,"")</f>
        <v/>
      </c>
      <c r="P150" s="1"/>
    </row>
    <row r="151" spans="1:16" x14ac:dyDescent="0.25">
      <c r="A151" t="s">
        <v>357</v>
      </c>
      <c r="B151" t="s">
        <v>93</v>
      </c>
      <c r="C151" t="s">
        <v>45</v>
      </c>
      <c r="D151" t="s">
        <v>15</v>
      </c>
      <c r="E151" t="s">
        <v>358</v>
      </c>
      <c r="F151" s="3" t="s">
        <v>16</v>
      </c>
      <c r="G151" s="3" t="s">
        <v>16</v>
      </c>
      <c r="H151" t="s">
        <v>77</v>
      </c>
      <c r="I151" t="s">
        <v>23</v>
      </c>
      <c r="J151">
        <v>23517000</v>
      </c>
      <c r="K151" t="s">
        <v>102</v>
      </c>
      <c r="L151" t="s">
        <v>15</v>
      </c>
      <c r="M151" s="1">
        <f>Data_Caso_Propuesto[[#This Row],[Precio]]</f>
        <v>23517000</v>
      </c>
      <c r="N151" s="1" t="str">
        <f>IFERROR(Data_Caso_Propuesto[[#This Row],[Precio]]/Data_Caso_Propuesto[[#This Row],[Area Terreno]],"")</f>
        <v/>
      </c>
      <c r="O151" s="1" t="str">
        <f>IFERROR((Data_Caso_Propuesto[[#This Row],[Precio]]/Data_Caso_Propuesto[[#This Row],[Area Terreno]])/1000000,"")</f>
        <v/>
      </c>
      <c r="P151" s="1"/>
    </row>
    <row r="152" spans="1:16" x14ac:dyDescent="0.25">
      <c r="A152" t="s">
        <v>359</v>
      </c>
      <c r="B152" t="s">
        <v>111</v>
      </c>
      <c r="C152" t="s">
        <v>112</v>
      </c>
      <c r="D152" t="s">
        <v>15</v>
      </c>
      <c r="E152" t="s">
        <v>360</v>
      </c>
      <c r="F152" s="3" t="s">
        <v>16</v>
      </c>
      <c r="G152" s="3" t="s">
        <v>16</v>
      </c>
      <c r="H152" t="s">
        <v>17</v>
      </c>
      <c r="I152" t="s">
        <v>61</v>
      </c>
      <c r="J152">
        <v>1247230000</v>
      </c>
      <c r="K152" t="s">
        <v>62</v>
      </c>
      <c r="L152" t="s">
        <v>1084</v>
      </c>
      <c r="M152" s="1">
        <f>Data_Caso_Propuesto[[#This Row],[Precio]]</f>
        <v>1247230000</v>
      </c>
      <c r="N152" s="1" t="str">
        <f>IFERROR(Data_Caso_Propuesto[[#This Row],[Precio]]/Data_Caso_Propuesto[[#This Row],[Area Terreno]],"")</f>
        <v/>
      </c>
      <c r="O152" s="1" t="str">
        <f>IFERROR((Data_Caso_Propuesto[[#This Row],[Precio]]/Data_Caso_Propuesto[[#This Row],[Area Terreno]])/1000000,"")</f>
        <v/>
      </c>
      <c r="P152" s="1"/>
    </row>
    <row r="153" spans="1:16" x14ac:dyDescent="0.25">
      <c r="A153" t="s">
        <v>361</v>
      </c>
      <c r="B153" t="s">
        <v>93</v>
      </c>
      <c r="C153" t="s">
        <v>45</v>
      </c>
      <c r="D153" t="s">
        <v>15</v>
      </c>
      <c r="E153" t="s">
        <v>362</v>
      </c>
      <c r="F153" s="3" t="s">
        <v>16</v>
      </c>
      <c r="G153" s="3" t="s">
        <v>16</v>
      </c>
      <c r="H153" t="s">
        <v>22</v>
      </c>
      <c r="I153" t="s">
        <v>23</v>
      </c>
      <c r="J153">
        <v>23250500</v>
      </c>
      <c r="K153" t="s">
        <v>102</v>
      </c>
      <c r="L153" t="s">
        <v>15</v>
      </c>
      <c r="M153" s="1">
        <f>Data_Caso_Propuesto[[#This Row],[Precio]]</f>
        <v>23250500</v>
      </c>
      <c r="N153" s="1" t="str">
        <f>IFERROR(Data_Caso_Propuesto[[#This Row],[Precio]]/Data_Caso_Propuesto[[#This Row],[Area Terreno]],"")</f>
        <v/>
      </c>
      <c r="O153" s="1" t="str">
        <f>IFERROR((Data_Caso_Propuesto[[#This Row],[Precio]]/Data_Caso_Propuesto[[#This Row],[Area Terreno]])/1000000,"")</f>
        <v/>
      </c>
      <c r="P153" s="1"/>
    </row>
    <row r="154" spans="1:16" x14ac:dyDescent="0.25">
      <c r="A154" t="s">
        <v>363</v>
      </c>
      <c r="B154" t="s">
        <v>111</v>
      </c>
      <c r="C154" t="s">
        <v>112</v>
      </c>
      <c r="D154" t="s">
        <v>15</v>
      </c>
      <c r="E154" t="s">
        <v>364</v>
      </c>
      <c r="F154" s="3" t="s">
        <v>16</v>
      </c>
      <c r="G154" s="3" t="s">
        <v>16</v>
      </c>
      <c r="H154" t="s">
        <v>17</v>
      </c>
      <c r="I154" t="s">
        <v>61</v>
      </c>
      <c r="J154">
        <v>1223722000</v>
      </c>
      <c r="K154" t="s">
        <v>62</v>
      </c>
      <c r="L154" t="s">
        <v>1084</v>
      </c>
      <c r="M154" s="1">
        <f>Data_Caso_Propuesto[[#This Row],[Precio]]</f>
        <v>1223722000</v>
      </c>
      <c r="N154" s="1" t="str">
        <f>IFERROR(Data_Caso_Propuesto[[#This Row],[Precio]]/Data_Caso_Propuesto[[#This Row],[Area Terreno]],"")</f>
        <v/>
      </c>
      <c r="O154" s="1" t="str">
        <f>IFERROR((Data_Caso_Propuesto[[#This Row],[Precio]]/Data_Caso_Propuesto[[#This Row],[Area Terreno]])/1000000,"")</f>
        <v/>
      </c>
      <c r="P154" s="1"/>
    </row>
    <row r="155" spans="1:16" x14ac:dyDescent="0.25">
      <c r="A155" t="s">
        <v>365</v>
      </c>
      <c r="B155" t="s">
        <v>111</v>
      </c>
      <c r="C155" t="s">
        <v>112</v>
      </c>
      <c r="D155" t="s">
        <v>15</v>
      </c>
      <c r="E155" t="s">
        <v>366</v>
      </c>
      <c r="F155" s="3" t="s">
        <v>16</v>
      </c>
      <c r="G155" s="3" t="s">
        <v>16</v>
      </c>
      <c r="H155" t="s">
        <v>17</v>
      </c>
      <c r="I155" t="s">
        <v>23</v>
      </c>
      <c r="J155">
        <v>1221390000</v>
      </c>
      <c r="K155" t="s">
        <v>62</v>
      </c>
      <c r="L155" t="s">
        <v>1084</v>
      </c>
      <c r="M155" s="1">
        <f>Data_Caso_Propuesto[[#This Row],[Precio]]</f>
        <v>1221390000</v>
      </c>
      <c r="N155" s="1" t="str">
        <f>IFERROR(Data_Caso_Propuesto[[#This Row],[Precio]]/Data_Caso_Propuesto[[#This Row],[Area Terreno]],"")</f>
        <v/>
      </c>
      <c r="O155" s="1" t="str">
        <f>IFERROR((Data_Caso_Propuesto[[#This Row],[Precio]]/Data_Caso_Propuesto[[#This Row],[Area Terreno]])/1000000,"")</f>
        <v/>
      </c>
      <c r="P155" s="1"/>
    </row>
    <row r="156" spans="1:16" x14ac:dyDescent="0.25">
      <c r="A156" t="s">
        <v>367</v>
      </c>
      <c r="B156" t="s">
        <v>93</v>
      </c>
      <c r="C156" t="s">
        <v>45</v>
      </c>
      <c r="D156" t="s">
        <v>15</v>
      </c>
      <c r="E156" t="s">
        <v>368</v>
      </c>
      <c r="F156" s="3" t="s">
        <v>16</v>
      </c>
      <c r="G156" s="3" t="s">
        <v>16</v>
      </c>
      <c r="H156" t="s">
        <v>22</v>
      </c>
      <c r="I156" t="s">
        <v>23</v>
      </c>
      <c r="J156">
        <v>22295000</v>
      </c>
      <c r="K156" t="s">
        <v>102</v>
      </c>
      <c r="L156" t="s">
        <v>15</v>
      </c>
      <c r="M156" s="1">
        <f>Data_Caso_Propuesto[[#This Row],[Precio]]</f>
        <v>22295000</v>
      </c>
      <c r="N156" s="1" t="str">
        <f>IFERROR(Data_Caso_Propuesto[[#This Row],[Precio]]/Data_Caso_Propuesto[[#This Row],[Area Terreno]],"")</f>
        <v/>
      </c>
      <c r="O156" s="1" t="str">
        <f>IFERROR((Data_Caso_Propuesto[[#This Row],[Precio]]/Data_Caso_Propuesto[[#This Row],[Area Terreno]])/1000000,"")</f>
        <v/>
      </c>
      <c r="P156" s="1"/>
    </row>
    <row r="157" spans="1:16" x14ac:dyDescent="0.25">
      <c r="A157" t="s">
        <v>369</v>
      </c>
      <c r="B157" t="s">
        <v>93</v>
      </c>
      <c r="C157" t="s">
        <v>45</v>
      </c>
      <c r="D157" t="s">
        <v>15</v>
      </c>
      <c r="E157" t="s">
        <v>370</v>
      </c>
      <c r="F157" s="3" t="s">
        <v>16</v>
      </c>
      <c r="G157" s="3" t="s">
        <v>16</v>
      </c>
      <c r="H157" t="s">
        <v>22</v>
      </c>
      <c r="I157" t="s">
        <v>23</v>
      </c>
      <c r="J157">
        <v>21708000</v>
      </c>
      <c r="K157" t="s">
        <v>102</v>
      </c>
      <c r="L157" t="s">
        <v>15</v>
      </c>
      <c r="M157" s="1">
        <f>Data_Caso_Propuesto[[#This Row],[Precio]]</f>
        <v>21708000</v>
      </c>
      <c r="N157" s="1" t="str">
        <f>IFERROR(Data_Caso_Propuesto[[#This Row],[Precio]]/Data_Caso_Propuesto[[#This Row],[Area Terreno]],"")</f>
        <v/>
      </c>
      <c r="O157" s="1" t="str">
        <f>IFERROR((Data_Caso_Propuesto[[#This Row],[Precio]]/Data_Caso_Propuesto[[#This Row],[Area Terreno]])/1000000,"")</f>
        <v/>
      </c>
      <c r="P157" s="1"/>
    </row>
    <row r="158" spans="1:16" x14ac:dyDescent="0.25">
      <c r="A158" t="s">
        <v>371</v>
      </c>
      <c r="B158" t="s">
        <v>93</v>
      </c>
      <c r="C158" t="s">
        <v>45</v>
      </c>
      <c r="D158" t="s">
        <v>15</v>
      </c>
      <c r="E158" t="s">
        <v>372</v>
      </c>
      <c r="F158" s="3" t="s">
        <v>16</v>
      </c>
      <c r="G158" s="3" t="s">
        <v>16</v>
      </c>
      <c r="H158" t="s">
        <v>22</v>
      </c>
      <c r="I158" t="s">
        <v>23</v>
      </c>
      <c r="J158">
        <v>21708000</v>
      </c>
      <c r="K158" t="s">
        <v>102</v>
      </c>
      <c r="L158" t="s">
        <v>15</v>
      </c>
      <c r="M158" s="1">
        <f>Data_Caso_Propuesto[[#This Row],[Precio]]</f>
        <v>21708000</v>
      </c>
      <c r="N158" s="1" t="str">
        <f>IFERROR(Data_Caso_Propuesto[[#This Row],[Precio]]/Data_Caso_Propuesto[[#This Row],[Area Terreno]],"")</f>
        <v/>
      </c>
      <c r="O158" s="1" t="str">
        <f>IFERROR((Data_Caso_Propuesto[[#This Row],[Precio]]/Data_Caso_Propuesto[[#This Row],[Area Terreno]])/1000000,"")</f>
        <v/>
      </c>
      <c r="P158" s="1"/>
    </row>
    <row r="159" spans="1:16" x14ac:dyDescent="0.25">
      <c r="A159" t="s">
        <v>373</v>
      </c>
      <c r="B159" t="s">
        <v>93</v>
      </c>
      <c r="C159" t="s">
        <v>45</v>
      </c>
      <c r="D159" t="s">
        <v>15</v>
      </c>
      <c r="E159" t="s">
        <v>374</v>
      </c>
      <c r="F159" s="3" t="s">
        <v>16</v>
      </c>
      <c r="G159" s="3" t="s">
        <v>16</v>
      </c>
      <c r="H159" t="s">
        <v>22</v>
      </c>
      <c r="I159" t="s">
        <v>23</v>
      </c>
      <c r="J159">
        <v>21708000</v>
      </c>
      <c r="K159" t="s">
        <v>102</v>
      </c>
      <c r="L159" t="s">
        <v>15</v>
      </c>
      <c r="M159" s="1">
        <f>Data_Caso_Propuesto[[#This Row],[Precio]]</f>
        <v>21708000</v>
      </c>
      <c r="N159" s="1" t="str">
        <f>IFERROR(Data_Caso_Propuesto[[#This Row],[Precio]]/Data_Caso_Propuesto[[#This Row],[Area Terreno]],"")</f>
        <v/>
      </c>
      <c r="O159" s="1" t="str">
        <f>IFERROR((Data_Caso_Propuesto[[#This Row],[Precio]]/Data_Caso_Propuesto[[#This Row],[Area Terreno]])/1000000,"")</f>
        <v/>
      </c>
      <c r="P159" s="1"/>
    </row>
    <row r="160" spans="1:16" x14ac:dyDescent="0.25">
      <c r="A160" t="s">
        <v>375</v>
      </c>
      <c r="B160" t="s">
        <v>93</v>
      </c>
      <c r="C160" t="s">
        <v>45</v>
      </c>
      <c r="D160" t="s">
        <v>15</v>
      </c>
      <c r="E160" t="s">
        <v>376</v>
      </c>
      <c r="F160" s="3" t="s">
        <v>16</v>
      </c>
      <c r="G160" s="3" t="s">
        <v>16</v>
      </c>
      <c r="H160" t="s">
        <v>77</v>
      </c>
      <c r="I160" t="s">
        <v>23</v>
      </c>
      <c r="J160">
        <v>21316750</v>
      </c>
      <c r="K160" t="s">
        <v>102</v>
      </c>
      <c r="L160" t="s">
        <v>15</v>
      </c>
      <c r="M160" s="1">
        <f>Data_Caso_Propuesto[[#This Row],[Precio]]</f>
        <v>21316750</v>
      </c>
      <c r="N160" s="1" t="str">
        <f>IFERROR(Data_Caso_Propuesto[[#This Row],[Precio]]/Data_Caso_Propuesto[[#This Row],[Area Terreno]],"")</f>
        <v/>
      </c>
      <c r="O160" s="1" t="str">
        <f>IFERROR((Data_Caso_Propuesto[[#This Row],[Precio]]/Data_Caso_Propuesto[[#This Row],[Area Terreno]])/1000000,"")</f>
        <v/>
      </c>
      <c r="P160" s="1"/>
    </row>
    <row r="161" spans="1:16" x14ac:dyDescent="0.25">
      <c r="A161" t="s">
        <v>377</v>
      </c>
      <c r="B161" t="s">
        <v>93</v>
      </c>
      <c r="C161" t="s">
        <v>45</v>
      </c>
      <c r="D161" t="s">
        <v>15</v>
      </c>
      <c r="E161" t="s">
        <v>378</v>
      </c>
      <c r="F161" s="3" t="s">
        <v>16</v>
      </c>
      <c r="G161" s="3" t="s">
        <v>16</v>
      </c>
      <c r="H161" t="s">
        <v>22</v>
      </c>
      <c r="I161" t="s">
        <v>23</v>
      </c>
      <c r="J161">
        <v>21168000</v>
      </c>
      <c r="K161" t="s">
        <v>102</v>
      </c>
      <c r="L161" t="s">
        <v>15</v>
      </c>
      <c r="M161" s="1">
        <f>Data_Caso_Propuesto[[#This Row],[Precio]]</f>
        <v>21168000</v>
      </c>
      <c r="N161" s="1" t="str">
        <f>IFERROR(Data_Caso_Propuesto[[#This Row],[Precio]]/Data_Caso_Propuesto[[#This Row],[Area Terreno]],"")</f>
        <v/>
      </c>
      <c r="O161" s="1" t="str">
        <f>IFERROR((Data_Caso_Propuesto[[#This Row],[Precio]]/Data_Caso_Propuesto[[#This Row],[Area Terreno]])/1000000,"")</f>
        <v/>
      </c>
      <c r="P161" s="1"/>
    </row>
    <row r="162" spans="1:16" x14ac:dyDescent="0.25">
      <c r="A162" t="s">
        <v>379</v>
      </c>
      <c r="B162" t="s">
        <v>111</v>
      </c>
      <c r="C162" t="s">
        <v>112</v>
      </c>
      <c r="D162" t="s">
        <v>15</v>
      </c>
      <c r="E162" t="s">
        <v>380</v>
      </c>
      <c r="F162" s="3" t="s">
        <v>16</v>
      </c>
      <c r="G162" s="3" t="s">
        <v>16</v>
      </c>
      <c r="H162" t="s">
        <v>17</v>
      </c>
      <c r="I162" t="s">
        <v>61</v>
      </c>
      <c r="J162">
        <v>1115324000</v>
      </c>
      <c r="K162" t="s">
        <v>62</v>
      </c>
      <c r="L162" t="s">
        <v>1084</v>
      </c>
      <c r="M162" s="1">
        <f>Data_Caso_Propuesto[[#This Row],[Precio]]</f>
        <v>1115324000</v>
      </c>
      <c r="N162" s="1" t="str">
        <f>IFERROR(Data_Caso_Propuesto[[#This Row],[Precio]]/Data_Caso_Propuesto[[#This Row],[Area Terreno]],"")</f>
        <v/>
      </c>
      <c r="O162" s="1" t="str">
        <f>IFERROR((Data_Caso_Propuesto[[#This Row],[Precio]]/Data_Caso_Propuesto[[#This Row],[Area Terreno]])/1000000,"")</f>
        <v/>
      </c>
      <c r="P162" s="1"/>
    </row>
    <row r="163" spans="1:16" x14ac:dyDescent="0.25">
      <c r="A163" t="s">
        <v>381</v>
      </c>
      <c r="B163" t="s">
        <v>93</v>
      </c>
      <c r="C163" t="s">
        <v>45</v>
      </c>
      <c r="D163" t="s">
        <v>15</v>
      </c>
      <c r="E163" t="s">
        <v>382</v>
      </c>
      <c r="F163" s="3" t="s">
        <v>16</v>
      </c>
      <c r="G163" s="3" t="s">
        <v>16</v>
      </c>
      <c r="H163" t="s">
        <v>22</v>
      </c>
      <c r="I163" t="s">
        <v>23</v>
      </c>
      <c r="J163">
        <v>20874000</v>
      </c>
      <c r="K163" t="s">
        <v>102</v>
      </c>
      <c r="L163" t="s">
        <v>15</v>
      </c>
      <c r="M163" s="1">
        <f>Data_Caso_Propuesto[[#This Row],[Precio]]</f>
        <v>20874000</v>
      </c>
      <c r="N163" s="1" t="str">
        <f>IFERROR(Data_Caso_Propuesto[[#This Row],[Precio]]/Data_Caso_Propuesto[[#This Row],[Area Terreno]],"")</f>
        <v/>
      </c>
      <c r="O163" s="1" t="str">
        <f>IFERROR((Data_Caso_Propuesto[[#This Row],[Precio]]/Data_Caso_Propuesto[[#This Row],[Area Terreno]])/1000000,"")</f>
        <v/>
      </c>
      <c r="P163" s="1"/>
    </row>
    <row r="164" spans="1:16" x14ac:dyDescent="0.25">
      <c r="A164" t="s">
        <v>383</v>
      </c>
      <c r="B164" t="s">
        <v>48</v>
      </c>
      <c r="C164" t="s">
        <v>49</v>
      </c>
      <c r="D164" t="s">
        <v>15</v>
      </c>
      <c r="E164" t="s">
        <v>384</v>
      </c>
      <c r="F164" s="3" t="s">
        <v>16</v>
      </c>
      <c r="G164" s="3" t="s">
        <v>16</v>
      </c>
      <c r="H164" t="s">
        <v>51</v>
      </c>
      <c r="I164" t="s">
        <v>41</v>
      </c>
      <c r="J164">
        <v>20381660</v>
      </c>
      <c r="K164" t="s">
        <v>125</v>
      </c>
      <c r="L164" t="s">
        <v>52</v>
      </c>
      <c r="M164" s="1">
        <f>Data_Caso_Propuesto[[#This Row],[Precio]]</f>
        <v>20381660</v>
      </c>
      <c r="N164" s="1" t="str">
        <f>IFERROR(Data_Caso_Propuesto[[#This Row],[Precio]]/Data_Caso_Propuesto[[#This Row],[Area Terreno]],"")</f>
        <v/>
      </c>
      <c r="O164" s="1" t="str">
        <f>IFERROR((Data_Caso_Propuesto[[#This Row],[Precio]]/Data_Caso_Propuesto[[#This Row],[Area Terreno]])/1000000,"")</f>
        <v/>
      </c>
      <c r="P164" s="1"/>
    </row>
    <row r="165" spans="1:16" x14ac:dyDescent="0.25">
      <c r="A165" t="s">
        <v>385</v>
      </c>
      <c r="B165" t="s">
        <v>93</v>
      </c>
      <c r="C165" t="s">
        <v>45</v>
      </c>
      <c r="D165" t="s">
        <v>15</v>
      </c>
      <c r="E165" t="s">
        <v>386</v>
      </c>
      <c r="F165" s="3" t="s">
        <v>16</v>
      </c>
      <c r="G165" s="3" t="s">
        <v>16</v>
      </c>
      <c r="H165" t="s">
        <v>22</v>
      </c>
      <c r="I165" t="s">
        <v>23</v>
      </c>
      <c r="J165">
        <v>20310500</v>
      </c>
      <c r="K165" t="s">
        <v>102</v>
      </c>
      <c r="L165" t="s">
        <v>15</v>
      </c>
      <c r="M165" s="1">
        <f>Data_Caso_Propuesto[[#This Row],[Precio]]</f>
        <v>20310500</v>
      </c>
      <c r="N165" s="1" t="str">
        <f>IFERROR(Data_Caso_Propuesto[[#This Row],[Precio]]/Data_Caso_Propuesto[[#This Row],[Area Terreno]],"")</f>
        <v/>
      </c>
      <c r="O165" s="1" t="str">
        <f>IFERROR((Data_Caso_Propuesto[[#This Row],[Precio]]/Data_Caso_Propuesto[[#This Row],[Area Terreno]])/1000000,"")</f>
        <v/>
      </c>
      <c r="P165" s="1"/>
    </row>
    <row r="166" spans="1:16" x14ac:dyDescent="0.25">
      <c r="A166" t="s">
        <v>387</v>
      </c>
      <c r="B166" t="s">
        <v>70</v>
      </c>
      <c r="C166" t="s">
        <v>71</v>
      </c>
      <c r="D166" t="s">
        <v>15</v>
      </c>
      <c r="E166" t="s">
        <v>1090</v>
      </c>
      <c r="F166" s="3" t="s">
        <v>16</v>
      </c>
      <c r="G166" s="3" t="s">
        <v>16</v>
      </c>
      <c r="H166" t="s">
        <v>17</v>
      </c>
      <c r="I166" t="s">
        <v>72</v>
      </c>
      <c r="J166">
        <v>3931747250</v>
      </c>
      <c r="K166" t="s">
        <v>32</v>
      </c>
      <c r="L166" t="s">
        <v>15</v>
      </c>
      <c r="M166" s="1">
        <f>Data_Caso_Propuesto[[#This Row],[Precio]]</f>
        <v>3931747250</v>
      </c>
      <c r="N166" s="1" t="str">
        <f>IFERROR(Data_Caso_Propuesto[[#This Row],[Precio]]/Data_Caso_Propuesto[[#This Row],[Area Terreno]],"")</f>
        <v/>
      </c>
      <c r="O166" s="1" t="str">
        <f>IFERROR((Data_Caso_Propuesto[[#This Row],[Precio]]/Data_Caso_Propuesto[[#This Row],[Area Terreno]])/1000000,"")</f>
        <v/>
      </c>
      <c r="P166" s="1"/>
    </row>
    <row r="167" spans="1:16" x14ac:dyDescent="0.25">
      <c r="A167" t="s">
        <v>388</v>
      </c>
      <c r="B167" t="s">
        <v>93</v>
      </c>
      <c r="C167" t="s">
        <v>45</v>
      </c>
      <c r="D167" t="s">
        <v>15</v>
      </c>
      <c r="E167" t="s">
        <v>389</v>
      </c>
      <c r="F167" s="3" t="s">
        <v>16</v>
      </c>
      <c r="G167" s="3" t="s">
        <v>16</v>
      </c>
      <c r="H167" t="s">
        <v>22</v>
      </c>
      <c r="I167" t="s">
        <v>23</v>
      </c>
      <c r="J167">
        <v>19918500</v>
      </c>
      <c r="K167" t="s">
        <v>102</v>
      </c>
      <c r="L167" t="s">
        <v>15</v>
      </c>
      <c r="M167" s="1">
        <f>Data_Caso_Propuesto[[#This Row],[Precio]]</f>
        <v>19918500</v>
      </c>
      <c r="N167" s="1" t="str">
        <f>IFERROR(Data_Caso_Propuesto[[#This Row],[Precio]]/Data_Caso_Propuesto[[#This Row],[Area Terreno]],"")</f>
        <v/>
      </c>
      <c r="O167" s="1" t="str">
        <f>IFERROR((Data_Caso_Propuesto[[#This Row],[Precio]]/Data_Caso_Propuesto[[#This Row],[Area Terreno]])/1000000,"")</f>
        <v/>
      </c>
      <c r="P167" s="1"/>
    </row>
    <row r="168" spans="1:16" x14ac:dyDescent="0.25">
      <c r="A168" t="s">
        <v>390</v>
      </c>
      <c r="B168" t="s">
        <v>93</v>
      </c>
      <c r="C168" t="s">
        <v>45</v>
      </c>
      <c r="D168" t="s">
        <v>15</v>
      </c>
      <c r="E168" t="s">
        <v>391</v>
      </c>
      <c r="F168" s="3" t="s">
        <v>16</v>
      </c>
      <c r="G168" s="3" t="s">
        <v>16</v>
      </c>
      <c r="H168" t="s">
        <v>22</v>
      </c>
      <c r="I168" t="s">
        <v>23</v>
      </c>
      <c r="J168">
        <v>19832000</v>
      </c>
      <c r="K168" t="s">
        <v>102</v>
      </c>
      <c r="L168" t="s">
        <v>15</v>
      </c>
      <c r="M168" s="1">
        <f>Data_Caso_Propuesto[[#This Row],[Precio]]</f>
        <v>19832000</v>
      </c>
      <c r="N168" s="1" t="str">
        <f>IFERROR(Data_Caso_Propuesto[[#This Row],[Precio]]/Data_Caso_Propuesto[[#This Row],[Area Terreno]],"")</f>
        <v/>
      </c>
      <c r="O168" s="1" t="str">
        <f>IFERROR((Data_Caso_Propuesto[[#This Row],[Precio]]/Data_Caso_Propuesto[[#This Row],[Area Terreno]])/1000000,"")</f>
        <v/>
      </c>
      <c r="P168" s="1"/>
    </row>
    <row r="169" spans="1:16" x14ac:dyDescent="0.25">
      <c r="A169" t="s">
        <v>392</v>
      </c>
      <c r="B169" t="s">
        <v>93</v>
      </c>
      <c r="C169" t="s">
        <v>45</v>
      </c>
      <c r="D169" t="s">
        <v>15</v>
      </c>
      <c r="E169" t="s">
        <v>393</v>
      </c>
      <c r="F169" s="3" t="s">
        <v>16</v>
      </c>
      <c r="G169" s="3" t="s">
        <v>16</v>
      </c>
      <c r="H169" t="s">
        <v>22</v>
      </c>
      <c r="I169" t="s">
        <v>23</v>
      </c>
      <c r="J169">
        <v>19596000</v>
      </c>
      <c r="K169" t="s">
        <v>102</v>
      </c>
      <c r="L169" t="s">
        <v>15</v>
      </c>
      <c r="M169" s="1">
        <f>Data_Caso_Propuesto[[#This Row],[Precio]]</f>
        <v>19596000</v>
      </c>
      <c r="N169" s="1" t="str">
        <f>IFERROR(Data_Caso_Propuesto[[#This Row],[Precio]]/Data_Caso_Propuesto[[#This Row],[Area Terreno]],"")</f>
        <v/>
      </c>
      <c r="O169" s="1" t="str">
        <f>IFERROR((Data_Caso_Propuesto[[#This Row],[Precio]]/Data_Caso_Propuesto[[#This Row],[Area Terreno]])/1000000,"")</f>
        <v/>
      </c>
      <c r="P169" s="1"/>
    </row>
    <row r="170" spans="1:16" x14ac:dyDescent="0.25">
      <c r="A170" t="s">
        <v>394</v>
      </c>
      <c r="B170" t="s">
        <v>93</v>
      </c>
      <c r="C170" t="s">
        <v>45</v>
      </c>
      <c r="D170" t="s">
        <v>15</v>
      </c>
      <c r="E170" t="s">
        <v>395</v>
      </c>
      <c r="F170" s="3" t="s">
        <v>16</v>
      </c>
      <c r="G170" s="3" t="s">
        <v>16</v>
      </c>
      <c r="H170" t="s">
        <v>22</v>
      </c>
      <c r="I170" t="s">
        <v>23</v>
      </c>
      <c r="J170">
        <v>19067000</v>
      </c>
      <c r="K170" t="s">
        <v>102</v>
      </c>
      <c r="L170" t="s">
        <v>15</v>
      </c>
      <c r="M170" s="1">
        <f>Data_Caso_Propuesto[[#This Row],[Precio]]</f>
        <v>19067000</v>
      </c>
      <c r="N170" s="1" t="str">
        <f>IFERROR(Data_Caso_Propuesto[[#This Row],[Precio]]/Data_Caso_Propuesto[[#This Row],[Area Terreno]],"")</f>
        <v/>
      </c>
      <c r="O170" s="1" t="str">
        <f>IFERROR((Data_Caso_Propuesto[[#This Row],[Precio]]/Data_Caso_Propuesto[[#This Row],[Area Terreno]])/1000000,"")</f>
        <v/>
      </c>
      <c r="P170" s="1"/>
    </row>
    <row r="171" spans="1:16" x14ac:dyDescent="0.25">
      <c r="A171" t="s">
        <v>396</v>
      </c>
      <c r="B171" t="s">
        <v>93</v>
      </c>
      <c r="C171" t="s">
        <v>45</v>
      </c>
      <c r="D171" t="s">
        <v>15</v>
      </c>
      <c r="E171" t="s">
        <v>397</v>
      </c>
      <c r="F171" s="3" t="s">
        <v>16</v>
      </c>
      <c r="G171" s="3" t="s">
        <v>16</v>
      </c>
      <c r="H171" t="s">
        <v>22</v>
      </c>
      <c r="I171" t="s">
        <v>23</v>
      </c>
      <c r="J171">
        <v>19067000</v>
      </c>
      <c r="K171" t="s">
        <v>102</v>
      </c>
      <c r="L171" t="s">
        <v>15</v>
      </c>
      <c r="M171" s="1">
        <f>Data_Caso_Propuesto[[#This Row],[Precio]]</f>
        <v>19067000</v>
      </c>
      <c r="N171" s="1" t="str">
        <f>IFERROR(Data_Caso_Propuesto[[#This Row],[Precio]]/Data_Caso_Propuesto[[#This Row],[Area Terreno]],"")</f>
        <v/>
      </c>
      <c r="O171" s="1" t="str">
        <f>IFERROR((Data_Caso_Propuesto[[#This Row],[Precio]]/Data_Caso_Propuesto[[#This Row],[Area Terreno]])/1000000,"")</f>
        <v/>
      </c>
      <c r="P171" s="1"/>
    </row>
    <row r="172" spans="1:16" x14ac:dyDescent="0.25">
      <c r="A172" t="s">
        <v>398</v>
      </c>
      <c r="B172" t="s">
        <v>70</v>
      </c>
      <c r="C172" t="s">
        <v>71</v>
      </c>
      <c r="D172" t="s">
        <v>149</v>
      </c>
      <c r="E172" t="s">
        <v>1091</v>
      </c>
      <c r="F172" s="3" t="s">
        <v>16</v>
      </c>
      <c r="G172" s="3" t="s">
        <v>16</v>
      </c>
      <c r="H172" t="s">
        <v>17</v>
      </c>
      <c r="I172" t="s">
        <v>31</v>
      </c>
      <c r="J172">
        <v>1906243515</v>
      </c>
      <c r="K172" t="s">
        <v>68</v>
      </c>
      <c r="L172" t="s">
        <v>15</v>
      </c>
      <c r="M172" s="1">
        <f>Data_Caso_Propuesto[[#This Row],[Precio]]</f>
        <v>1906243515</v>
      </c>
      <c r="N172" s="1" t="str">
        <f>IFERROR(Data_Caso_Propuesto[[#This Row],[Precio]]/Data_Caso_Propuesto[[#This Row],[Area Terreno]],"")</f>
        <v/>
      </c>
      <c r="O172" s="1" t="str">
        <f>IFERROR((Data_Caso_Propuesto[[#This Row],[Precio]]/Data_Caso_Propuesto[[#This Row],[Area Terreno]])/1000000,"")</f>
        <v/>
      </c>
      <c r="P172" s="1"/>
    </row>
    <row r="173" spans="1:16" x14ac:dyDescent="0.25">
      <c r="A173" t="s">
        <v>399</v>
      </c>
      <c r="B173" t="s">
        <v>93</v>
      </c>
      <c r="C173" t="s">
        <v>45</v>
      </c>
      <c r="D173" t="s">
        <v>15</v>
      </c>
      <c r="E173" t="s">
        <v>400</v>
      </c>
      <c r="F173" s="3" t="s">
        <v>16</v>
      </c>
      <c r="G173" s="3" t="s">
        <v>16</v>
      </c>
      <c r="H173" t="s">
        <v>22</v>
      </c>
      <c r="I173" t="s">
        <v>23</v>
      </c>
      <c r="J173">
        <v>18446000</v>
      </c>
      <c r="K173" t="s">
        <v>102</v>
      </c>
      <c r="L173" t="s">
        <v>15</v>
      </c>
      <c r="M173" s="1">
        <f>Data_Caso_Propuesto[[#This Row],[Precio]]</f>
        <v>18446000</v>
      </c>
      <c r="N173" s="1" t="str">
        <f>IFERROR(Data_Caso_Propuesto[[#This Row],[Precio]]/Data_Caso_Propuesto[[#This Row],[Area Terreno]],"")</f>
        <v/>
      </c>
      <c r="O173" s="1" t="str">
        <f>IFERROR((Data_Caso_Propuesto[[#This Row],[Precio]]/Data_Caso_Propuesto[[#This Row],[Area Terreno]])/1000000,"")</f>
        <v/>
      </c>
      <c r="P173" s="1"/>
    </row>
    <row r="174" spans="1:16" x14ac:dyDescent="0.25">
      <c r="A174" t="s">
        <v>401</v>
      </c>
      <c r="B174" t="s">
        <v>111</v>
      </c>
      <c r="C174" t="s">
        <v>112</v>
      </c>
      <c r="D174" t="s">
        <v>15</v>
      </c>
      <c r="E174" t="s">
        <v>402</v>
      </c>
      <c r="F174" s="3" t="s">
        <v>16</v>
      </c>
      <c r="G174" s="3" t="s">
        <v>16</v>
      </c>
      <c r="H174" t="s">
        <v>17</v>
      </c>
      <c r="I174" t="s">
        <v>61</v>
      </c>
      <c r="J174">
        <v>970358000</v>
      </c>
      <c r="K174" t="s">
        <v>62</v>
      </c>
      <c r="L174" t="s">
        <v>1084</v>
      </c>
      <c r="M174" s="1">
        <f>Data_Caso_Propuesto[[#This Row],[Precio]]</f>
        <v>970358000</v>
      </c>
      <c r="N174" s="1" t="str">
        <f>IFERROR(Data_Caso_Propuesto[[#This Row],[Precio]]/Data_Caso_Propuesto[[#This Row],[Area Terreno]],"")</f>
        <v/>
      </c>
      <c r="O174" s="1" t="str">
        <f>IFERROR((Data_Caso_Propuesto[[#This Row],[Precio]]/Data_Caso_Propuesto[[#This Row],[Area Terreno]])/1000000,"")</f>
        <v/>
      </c>
      <c r="P174" s="1"/>
    </row>
    <row r="175" spans="1:16" x14ac:dyDescent="0.25">
      <c r="A175" t="s">
        <v>403</v>
      </c>
      <c r="B175" t="s">
        <v>93</v>
      </c>
      <c r="C175" t="s">
        <v>45</v>
      </c>
      <c r="D175" t="s">
        <v>15</v>
      </c>
      <c r="E175" t="s">
        <v>404</v>
      </c>
      <c r="F175" s="3" t="s">
        <v>16</v>
      </c>
      <c r="G175" s="3" t="s">
        <v>16</v>
      </c>
      <c r="H175" t="s">
        <v>22</v>
      </c>
      <c r="I175" t="s">
        <v>23</v>
      </c>
      <c r="J175">
        <v>18252500</v>
      </c>
      <c r="K175" t="s">
        <v>102</v>
      </c>
      <c r="L175" t="s">
        <v>15</v>
      </c>
      <c r="M175" s="1">
        <f>Data_Caso_Propuesto[[#This Row],[Precio]]</f>
        <v>18252500</v>
      </c>
      <c r="N175" s="1" t="str">
        <f>IFERROR(Data_Caso_Propuesto[[#This Row],[Precio]]/Data_Caso_Propuesto[[#This Row],[Area Terreno]],"")</f>
        <v/>
      </c>
      <c r="O175" s="1" t="str">
        <f>IFERROR((Data_Caso_Propuesto[[#This Row],[Precio]]/Data_Caso_Propuesto[[#This Row],[Area Terreno]])/1000000,"")</f>
        <v/>
      </c>
      <c r="P175" s="1"/>
    </row>
    <row r="176" spans="1:16" x14ac:dyDescent="0.25">
      <c r="A176" t="s">
        <v>405</v>
      </c>
      <c r="B176" t="s">
        <v>93</v>
      </c>
      <c r="C176" t="s">
        <v>45</v>
      </c>
      <c r="D176" t="s">
        <v>15</v>
      </c>
      <c r="E176" t="s">
        <v>406</v>
      </c>
      <c r="F176" s="3" t="s">
        <v>16</v>
      </c>
      <c r="G176" s="3" t="s">
        <v>16</v>
      </c>
      <c r="H176" t="s">
        <v>22</v>
      </c>
      <c r="I176" t="s">
        <v>23</v>
      </c>
      <c r="J176">
        <v>18228000</v>
      </c>
      <c r="K176" t="s">
        <v>102</v>
      </c>
      <c r="L176" t="s">
        <v>15</v>
      </c>
      <c r="M176" s="1">
        <f>Data_Caso_Propuesto[[#This Row],[Precio]]</f>
        <v>18228000</v>
      </c>
      <c r="N176" s="1" t="str">
        <f>IFERROR(Data_Caso_Propuesto[[#This Row],[Precio]]/Data_Caso_Propuesto[[#This Row],[Area Terreno]],"")</f>
        <v/>
      </c>
      <c r="O176" s="1" t="str">
        <f>IFERROR((Data_Caso_Propuesto[[#This Row],[Precio]]/Data_Caso_Propuesto[[#This Row],[Area Terreno]])/1000000,"")</f>
        <v/>
      </c>
      <c r="P176" s="1"/>
    </row>
    <row r="177" spans="1:16" x14ac:dyDescent="0.25">
      <c r="A177" t="s">
        <v>407</v>
      </c>
      <c r="B177" t="s">
        <v>93</v>
      </c>
      <c r="C177" t="s">
        <v>45</v>
      </c>
      <c r="D177" t="s">
        <v>15</v>
      </c>
      <c r="E177" t="s">
        <v>408</v>
      </c>
      <c r="F177" s="3" t="s">
        <v>16</v>
      </c>
      <c r="G177" s="3" t="s">
        <v>16</v>
      </c>
      <c r="H177" t="s">
        <v>22</v>
      </c>
      <c r="I177" t="s">
        <v>23</v>
      </c>
      <c r="J177">
        <v>18203500</v>
      </c>
      <c r="K177" t="s">
        <v>102</v>
      </c>
      <c r="L177" t="s">
        <v>15</v>
      </c>
      <c r="M177" s="1">
        <f>Data_Caso_Propuesto[[#This Row],[Precio]]</f>
        <v>18203500</v>
      </c>
      <c r="N177" s="1" t="str">
        <f>IFERROR(Data_Caso_Propuesto[[#This Row],[Precio]]/Data_Caso_Propuesto[[#This Row],[Area Terreno]],"")</f>
        <v/>
      </c>
      <c r="O177" s="1" t="str">
        <f>IFERROR((Data_Caso_Propuesto[[#This Row],[Precio]]/Data_Caso_Propuesto[[#This Row],[Area Terreno]])/1000000,"")</f>
        <v/>
      </c>
      <c r="P177" s="1"/>
    </row>
    <row r="178" spans="1:16" x14ac:dyDescent="0.25">
      <c r="A178" t="s">
        <v>409</v>
      </c>
      <c r="B178" t="s">
        <v>93</v>
      </c>
      <c r="C178" t="s">
        <v>45</v>
      </c>
      <c r="D178" t="s">
        <v>15</v>
      </c>
      <c r="E178" t="s">
        <v>410</v>
      </c>
      <c r="F178" s="3" t="s">
        <v>16</v>
      </c>
      <c r="G178" s="3" t="s">
        <v>16</v>
      </c>
      <c r="H178" t="s">
        <v>22</v>
      </c>
      <c r="I178" t="s">
        <v>23</v>
      </c>
      <c r="J178">
        <v>18007500</v>
      </c>
      <c r="K178" t="s">
        <v>102</v>
      </c>
      <c r="L178" t="s">
        <v>15</v>
      </c>
      <c r="M178" s="1">
        <f>Data_Caso_Propuesto[[#This Row],[Precio]]</f>
        <v>18007500</v>
      </c>
      <c r="N178" s="1" t="str">
        <f>IFERROR(Data_Caso_Propuesto[[#This Row],[Precio]]/Data_Caso_Propuesto[[#This Row],[Area Terreno]],"")</f>
        <v/>
      </c>
      <c r="O178" s="1" t="str">
        <f>IFERROR((Data_Caso_Propuesto[[#This Row],[Precio]]/Data_Caso_Propuesto[[#This Row],[Area Terreno]])/1000000,"")</f>
        <v/>
      </c>
      <c r="P178" s="1"/>
    </row>
    <row r="179" spans="1:16" x14ac:dyDescent="0.25">
      <c r="A179" t="s">
        <v>411</v>
      </c>
      <c r="B179" t="s">
        <v>93</v>
      </c>
      <c r="C179" t="s">
        <v>45</v>
      </c>
      <c r="D179" t="s">
        <v>15</v>
      </c>
      <c r="E179" t="s">
        <v>412</v>
      </c>
      <c r="F179" s="3" t="s">
        <v>16</v>
      </c>
      <c r="G179" s="3" t="s">
        <v>16</v>
      </c>
      <c r="H179" t="s">
        <v>77</v>
      </c>
      <c r="I179" t="s">
        <v>23</v>
      </c>
      <c r="J179">
        <v>17566500</v>
      </c>
      <c r="K179" t="s">
        <v>102</v>
      </c>
      <c r="L179" t="s">
        <v>15</v>
      </c>
      <c r="M179" s="1">
        <f>Data_Caso_Propuesto[[#This Row],[Precio]]</f>
        <v>17566500</v>
      </c>
      <c r="N179" s="1" t="str">
        <f>IFERROR(Data_Caso_Propuesto[[#This Row],[Precio]]/Data_Caso_Propuesto[[#This Row],[Area Terreno]],"")</f>
        <v/>
      </c>
      <c r="O179" s="1" t="str">
        <f>IFERROR((Data_Caso_Propuesto[[#This Row],[Precio]]/Data_Caso_Propuesto[[#This Row],[Area Terreno]])/1000000,"")</f>
        <v/>
      </c>
      <c r="P179" s="1"/>
    </row>
    <row r="180" spans="1:16" x14ac:dyDescent="0.25">
      <c r="A180" t="s">
        <v>413</v>
      </c>
      <c r="B180" t="s">
        <v>93</v>
      </c>
      <c r="C180" t="s">
        <v>45</v>
      </c>
      <c r="D180" t="s">
        <v>15</v>
      </c>
      <c r="E180" t="s">
        <v>414</v>
      </c>
      <c r="F180" s="3" t="s">
        <v>16</v>
      </c>
      <c r="G180" s="3" t="s">
        <v>16</v>
      </c>
      <c r="H180" t="s">
        <v>22</v>
      </c>
      <c r="I180" t="s">
        <v>23</v>
      </c>
      <c r="J180">
        <v>17566500</v>
      </c>
      <c r="K180" t="s">
        <v>102</v>
      </c>
      <c r="L180" t="s">
        <v>15</v>
      </c>
      <c r="M180" s="1">
        <f>Data_Caso_Propuesto[[#This Row],[Precio]]</f>
        <v>17566500</v>
      </c>
      <c r="N180" s="1" t="str">
        <f>IFERROR(Data_Caso_Propuesto[[#This Row],[Precio]]/Data_Caso_Propuesto[[#This Row],[Area Terreno]],"")</f>
        <v/>
      </c>
      <c r="O180" s="1" t="str">
        <f>IFERROR((Data_Caso_Propuesto[[#This Row],[Precio]]/Data_Caso_Propuesto[[#This Row],[Area Terreno]])/1000000,"")</f>
        <v/>
      </c>
      <c r="P180" s="1"/>
    </row>
    <row r="181" spans="1:16" x14ac:dyDescent="0.25">
      <c r="A181" t="s">
        <v>415</v>
      </c>
      <c r="B181" t="s">
        <v>111</v>
      </c>
      <c r="C181" t="s">
        <v>112</v>
      </c>
      <c r="D181" t="s">
        <v>15</v>
      </c>
      <c r="E181" t="s">
        <v>416</v>
      </c>
      <c r="F181" s="3" t="s">
        <v>16</v>
      </c>
      <c r="G181" s="3" t="s">
        <v>16</v>
      </c>
      <c r="H181" t="s">
        <v>17</v>
      </c>
      <c r="I181" t="s">
        <v>61</v>
      </c>
      <c r="J181">
        <v>925954000</v>
      </c>
      <c r="K181" t="s">
        <v>62</v>
      </c>
      <c r="L181" t="s">
        <v>1084</v>
      </c>
      <c r="M181" s="1">
        <f>Data_Caso_Propuesto[[#This Row],[Precio]]</f>
        <v>925954000</v>
      </c>
      <c r="N181" s="1" t="str">
        <f>IFERROR(Data_Caso_Propuesto[[#This Row],[Precio]]/Data_Caso_Propuesto[[#This Row],[Area Terreno]],"")</f>
        <v/>
      </c>
      <c r="O181" s="1" t="str">
        <f>IFERROR((Data_Caso_Propuesto[[#This Row],[Precio]]/Data_Caso_Propuesto[[#This Row],[Area Terreno]])/1000000,"")</f>
        <v/>
      </c>
      <c r="P181" s="1"/>
    </row>
    <row r="182" spans="1:16" x14ac:dyDescent="0.25">
      <c r="A182" t="s">
        <v>417</v>
      </c>
      <c r="B182" t="s">
        <v>93</v>
      </c>
      <c r="C182" t="s">
        <v>45</v>
      </c>
      <c r="D182" t="s">
        <v>15</v>
      </c>
      <c r="E182" t="s">
        <v>418</v>
      </c>
      <c r="F182" s="3" t="s">
        <v>16</v>
      </c>
      <c r="G182" s="3" t="s">
        <v>16</v>
      </c>
      <c r="H182" t="s">
        <v>22</v>
      </c>
      <c r="I182" t="s">
        <v>23</v>
      </c>
      <c r="J182">
        <v>17419500</v>
      </c>
      <c r="K182" t="s">
        <v>102</v>
      </c>
      <c r="L182" t="s">
        <v>15</v>
      </c>
      <c r="M182" s="1">
        <f>Data_Caso_Propuesto[[#This Row],[Precio]]</f>
        <v>17419500</v>
      </c>
      <c r="N182" s="1" t="str">
        <f>IFERROR(Data_Caso_Propuesto[[#This Row],[Precio]]/Data_Caso_Propuesto[[#This Row],[Area Terreno]],"")</f>
        <v/>
      </c>
      <c r="O182" s="1" t="str">
        <f>IFERROR((Data_Caso_Propuesto[[#This Row],[Precio]]/Data_Caso_Propuesto[[#This Row],[Area Terreno]])/1000000,"")</f>
        <v/>
      </c>
      <c r="P182" s="1"/>
    </row>
    <row r="183" spans="1:16" x14ac:dyDescent="0.25">
      <c r="A183" t="s">
        <v>419</v>
      </c>
      <c r="B183" t="s">
        <v>93</v>
      </c>
      <c r="C183" t="s">
        <v>45</v>
      </c>
      <c r="D183" t="s">
        <v>15</v>
      </c>
      <c r="E183" t="s">
        <v>420</v>
      </c>
      <c r="F183" s="3" t="s">
        <v>16</v>
      </c>
      <c r="G183" s="3" t="s">
        <v>16</v>
      </c>
      <c r="H183" t="s">
        <v>22</v>
      </c>
      <c r="I183" t="s">
        <v>23</v>
      </c>
      <c r="J183">
        <v>17419500</v>
      </c>
      <c r="K183" t="s">
        <v>102</v>
      </c>
      <c r="L183" t="s">
        <v>15</v>
      </c>
      <c r="M183" s="1">
        <f>Data_Caso_Propuesto[[#This Row],[Precio]]</f>
        <v>17419500</v>
      </c>
      <c r="N183" s="1" t="str">
        <f>IFERROR(Data_Caso_Propuesto[[#This Row],[Precio]]/Data_Caso_Propuesto[[#This Row],[Area Terreno]],"")</f>
        <v/>
      </c>
      <c r="O183" s="1" t="str">
        <f>IFERROR((Data_Caso_Propuesto[[#This Row],[Precio]]/Data_Caso_Propuesto[[#This Row],[Area Terreno]])/1000000,"")</f>
        <v/>
      </c>
      <c r="P183" s="1"/>
    </row>
    <row r="184" spans="1:16" x14ac:dyDescent="0.25">
      <c r="A184" t="s">
        <v>421</v>
      </c>
      <c r="B184" t="s">
        <v>93</v>
      </c>
      <c r="C184" t="s">
        <v>45</v>
      </c>
      <c r="D184" t="s">
        <v>15</v>
      </c>
      <c r="E184" t="s">
        <v>422</v>
      </c>
      <c r="F184" s="3" t="s">
        <v>16</v>
      </c>
      <c r="G184" s="3" t="s">
        <v>16</v>
      </c>
      <c r="H184" t="s">
        <v>22</v>
      </c>
      <c r="I184" t="s">
        <v>23</v>
      </c>
      <c r="J184">
        <v>17223500</v>
      </c>
      <c r="K184" t="s">
        <v>102</v>
      </c>
      <c r="L184" t="s">
        <v>15</v>
      </c>
      <c r="M184" s="1">
        <f>Data_Caso_Propuesto[[#This Row],[Precio]]</f>
        <v>17223500</v>
      </c>
      <c r="N184" s="1" t="str">
        <f>IFERROR(Data_Caso_Propuesto[[#This Row],[Precio]]/Data_Caso_Propuesto[[#This Row],[Area Terreno]],"")</f>
        <v/>
      </c>
      <c r="O184" s="1" t="str">
        <f>IFERROR((Data_Caso_Propuesto[[#This Row],[Precio]]/Data_Caso_Propuesto[[#This Row],[Area Terreno]])/1000000,"")</f>
        <v/>
      </c>
      <c r="P184" s="1"/>
    </row>
    <row r="185" spans="1:16" x14ac:dyDescent="0.25">
      <c r="A185" t="s">
        <v>423</v>
      </c>
      <c r="B185" t="s">
        <v>93</v>
      </c>
      <c r="C185" t="s">
        <v>45</v>
      </c>
      <c r="D185" t="s">
        <v>15</v>
      </c>
      <c r="E185" t="s">
        <v>424</v>
      </c>
      <c r="F185" s="3" t="s">
        <v>16</v>
      </c>
      <c r="G185" s="3" t="s">
        <v>16</v>
      </c>
      <c r="H185" t="s">
        <v>22</v>
      </c>
      <c r="I185" t="s">
        <v>23</v>
      </c>
      <c r="J185">
        <v>17199000</v>
      </c>
      <c r="K185" t="s">
        <v>102</v>
      </c>
      <c r="L185" t="s">
        <v>15</v>
      </c>
      <c r="M185" s="1">
        <f>Data_Caso_Propuesto[[#This Row],[Precio]]</f>
        <v>17199000</v>
      </c>
      <c r="N185" s="1" t="str">
        <f>IFERROR(Data_Caso_Propuesto[[#This Row],[Precio]]/Data_Caso_Propuesto[[#This Row],[Area Terreno]],"")</f>
        <v/>
      </c>
      <c r="O185" s="1" t="str">
        <f>IFERROR((Data_Caso_Propuesto[[#This Row],[Precio]]/Data_Caso_Propuesto[[#This Row],[Area Terreno]])/1000000,"")</f>
        <v/>
      </c>
      <c r="P185" s="1"/>
    </row>
    <row r="186" spans="1:16" x14ac:dyDescent="0.25">
      <c r="A186" t="s">
        <v>425</v>
      </c>
      <c r="B186" t="s">
        <v>93</v>
      </c>
      <c r="C186" t="s">
        <v>45</v>
      </c>
      <c r="D186" t="s">
        <v>15</v>
      </c>
      <c r="E186" t="s">
        <v>426</v>
      </c>
      <c r="F186" s="3" t="s">
        <v>16</v>
      </c>
      <c r="G186" s="3" t="s">
        <v>16</v>
      </c>
      <c r="H186" t="s">
        <v>22</v>
      </c>
      <c r="I186" t="s">
        <v>23</v>
      </c>
      <c r="J186">
        <v>17199000</v>
      </c>
      <c r="K186" t="s">
        <v>102</v>
      </c>
      <c r="L186" t="s">
        <v>15</v>
      </c>
      <c r="M186" s="1">
        <f>Data_Caso_Propuesto[[#This Row],[Precio]]</f>
        <v>17199000</v>
      </c>
      <c r="N186" s="1" t="str">
        <f>IFERROR(Data_Caso_Propuesto[[#This Row],[Precio]]/Data_Caso_Propuesto[[#This Row],[Area Terreno]],"")</f>
        <v/>
      </c>
      <c r="O186" s="1" t="str">
        <f>IFERROR((Data_Caso_Propuesto[[#This Row],[Precio]]/Data_Caso_Propuesto[[#This Row],[Area Terreno]])/1000000,"")</f>
        <v/>
      </c>
      <c r="P186" s="1"/>
    </row>
    <row r="187" spans="1:16" x14ac:dyDescent="0.25">
      <c r="A187" t="s">
        <v>427</v>
      </c>
      <c r="B187" t="s">
        <v>93</v>
      </c>
      <c r="C187" t="s">
        <v>45</v>
      </c>
      <c r="D187" t="s">
        <v>15</v>
      </c>
      <c r="E187" t="s">
        <v>428</v>
      </c>
      <c r="F187" s="3" t="s">
        <v>16</v>
      </c>
      <c r="G187" s="3" t="s">
        <v>16</v>
      </c>
      <c r="H187" t="s">
        <v>22</v>
      </c>
      <c r="I187" t="s">
        <v>23</v>
      </c>
      <c r="J187">
        <v>17199000</v>
      </c>
      <c r="K187" t="s">
        <v>102</v>
      </c>
      <c r="L187" t="s">
        <v>15</v>
      </c>
      <c r="M187" s="1">
        <f>Data_Caso_Propuesto[[#This Row],[Precio]]</f>
        <v>17199000</v>
      </c>
      <c r="N187" s="1" t="str">
        <f>IFERROR(Data_Caso_Propuesto[[#This Row],[Precio]]/Data_Caso_Propuesto[[#This Row],[Area Terreno]],"")</f>
        <v/>
      </c>
      <c r="O187" s="1" t="str">
        <f>IFERROR((Data_Caso_Propuesto[[#This Row],[Precio]]/Data_Caso_Propuesto[[#This Row],[Area Terreno]])/1000000,"")</f>
        <v/>
      </c>
      <c r="P187" s="1"/>
    </row>
    <row r="188" spans="1:16" x14ac:dyDescent="0.25">
      <c r="A188" t="s">
        <v>429</v>
      </c>
      <c r="B188" t="s">
        <v>93</v>
      </c>
      <c r="C188" t="s">
        <v>45</v>
      </c>
      <c r="D188" t="s">
        <v>15</v>
      </c>
      <c r="E188" t="s">
        <v>430</v>
      </c>
      <c r="F188" s="3" t="s">
        <v>16</v>
      </c>
      <c r="G188" s="3" t="s">
        <v>16</v>
      </c>
      <c r="H188" t="s">
        <v>22</v>
      </c>
      <c r="I188" t="s">
        <v>23</v>
      </c>
      <c r="J188">
        <v>17199000</v>
      </c>
      <c r="K188" t="s">
        <v>102</v>
      </c>
      <c r="L188" t="s">
        <v>15</v>
      </c>
      <c r="M188" s="1">
        <f>Data_Caso_Propuesto[[#This Row],[Precio]]</f>
        <v>17199000</v>
      </c>
      <c r="N188" s="1" t="str">
        <f>IFERROR(Data_Caso_Propuesto[[#This Row],[Precio]]/Data_Caso_Propuesto[[#This Row],[Area Terreno]],"")</f>
        <v/>
      </c>
      <c r="O188" s="1" t="str">
        <f>IFERROR((Data_Caso_Propuesto[[#This Row],[Precio]]/Data_Caso_Propuesto[[#This Row],[Area Terreno]])/1000000,"")</f>
        <v/>
      </c>
      <c r="P188" s="1"/>
    </row>
    <row r="189" spans="1:16" x14ac:dyDescent="0.25">
      <c r="A189" t="s">
        <v>431</v>
      </c>
      <c r="B189" t="s">
        <v>93</v>
      </c>
      <c r="C189" t="s">
        <v>45</v>
      </c>
      <c r="D189" t="s">
        <v>15</v>
      </c>
      <c r="E189" t="s">
        <v>432</v>
      </c>
      <c r="F189" s="3" t="s">
        <v>16</v>
      </c>
      <c r="G189" s="3" t="s">
        <v>16</v>
      </c>
      <c r="H189" t="s">
        <v>22</v>
      </c>
      <c r="I189" t="s">
        <v>23</v>
      </c>
      <c r="J189">
        <v>17199000</v>
      </c>
      <c r="K189" t="s">
        <v>102</v>
      </c>
      <c r="L189" t="s">
        <v>15</v>
      </c>
      <c r="M189" s="1">
        <f>Data_Caso_Propuesto[[#This Row],[Precio]]</f>
        <v>17199000</v>
      </c>
      <c r="N189" s="1" t="str">
        <f>IFERROR(Data_Caso_Propuesto[[#This Row],[Precio]]/Data_Caso_Propuesto[[#This Row],[Area Terreno]],"")</f>
        <v/>
      </c>
      <c r="O189" s="1" t="str">
        <f>IFERROR((Data_Caso_Propuesto[[#This Row],[Precio]]/Data_Caso_Propuesto[[#This Row],[Area Terreno]])/1000000,"")</f>
        <v/>
      </c>
      <c r="P189" s="1"/>
    </row>
    <row r="190" spans="1:16" x14ac:dyDescent="0.25">
      <c r="A190" t="s">
        <v>433</v>
      </c>
      <c r="B190" t="s">
        <v>93</v>
      </c>
      <c r="C190" t="s">
        <v>45</v>
      </c>
      <c r="D190" t="s">
        <v>15</v>
      </c>
      <c r="E190" t="s">
        <v>434</v>
      </c>
      <c r="F190" s="3" t="s">
        <v>16</v>
      </c>
      <c r="G190" s="3" t="s">
        <v>16</v>
      </c>
      <c r="H190" t="s">
        <v>22</v>
      </c>
      <c r="I190" t="s">
        <v>23</v>
      </c>
      <c r="J190">
        <v>17150000</v>
      </c>
      <c r="K190" t="s">
        <v>102</v>
      </c>
      <c r="L190" t="s">
        <v>15</v>
      </c>
      <c r="M190" s="1">
        <f>Data_Caso_Propuesto[[#This Row],[Precio]]</f>
        <v>17150000</v>
      </c>
      <c r="N190" s="1" t="str">
        <f>IFERROR(Data_Caso_Propuesto[[#This Row],[Precio]]/Data_Caso_Propuesto[[#This Row],[Area Terreno]],"")</f>
        <v/>
      </c>
      <c r="O190" s="1" t="str">
        <f>IFERROR((Data_Caso_Propuesto[[#This Row],[Precio]]/Data_Caso_Propuesto[[#This Row],[Area Terreno]])/1000000,"")</f>
        <v/>
      </c>
      <c r="P190" s="1"/>
    </row>
    <row r="191" spans="1:16" x14ac:dyDescent="0.25">
      <c r="A191" t="s">
        <v>435</v>
      </c>
      <c r="B191" t="s">
        <v>93</v>
      </c>
      <c r="C191" t="s">
        <v>45</v>
      </c>
      <c r="D191" t="s">
        <v>15</v>
      </c>
      <c r="E191" t="s">
        <v>436</v>
      </c>
      <c r="F191" s="3" t="s">
        <v>16</v>
      </c>
      <c r="G191" s="3" t="s">
        <v>16</v>
      </c>
      <c r="H191" t="s">
        <v>22</v>
      </c>
      <c r="I191" t="s">
        <v>23</v>
      </c>
      <c r="J191">
        <v>17120000</v>
      </c>
      <c r="K191" t="s">
        <v>102</v>
      </c>
      <c r="L191" t="s">
        <v>15</v>
      </c>
      <c r="M191" s="1">
        <f>Data_Caso_Propuesto[[#This Row],[Precio]]</f>
        <v>17120000</v>
      </c>
      <c r="N191" s="1" t="str">
        <f>IFERROR(Data_Caso_Propuesto[[#This Row],[Precio]]/Data_Caso_Propuesto[[#This Row],[Area Terreno]],"")</f>
        <v/>
      </c>
      <c r="O191" s="1" t="str">
        <f>IFERROR((Data_Caso_Propuesto[[#This Row],[Precio]]/Data_Caso_Propuesto[[#This Row],[Area Terreno]])/1000000,"")</f>
        <v/>
      </c>
      <c r="P191" s="1"/>
    </row>
    <row r="192" spans="1:16" x14ac:dyDescent="0.25">
      <c r="A192" t="s">
        <v>437</v>
      </c>
      <c r="B192" t="s">
        <v>89</v>
      </c>
      <c r="C192" t="s">
        <v>49</v>
      </c>
      <c r="D192" t="s">
        <v>15</v>
      </c>
      <c r="E192" t="s">
        <v>1092</v>
      </c>
      <c r="F192" s="3" t="s">
        <v>16</v>
      </c>
      <c r="G192" s="3" t="s">
        <v>16</v>
      </c>
      <c r="H192" t="s">
        <v>77</v>
      </c>
      <c r="I192" t="s">
        <v>23</v>
      </c>
      <c r="J192">
        <v>1102570639</v>
      </c>
      <c r="K192" t="s">
        <v>102</v>
      </c>
      <c r="L192" t="s">
        <v>1093</v>
      </c>
      <c r="M192" s="1">
        <f>Data_Caso_Propuesto[[#This Row],[Precio]]</f>
        <v>1102570639</v>
      </c>
      <c r="N192" s="1" t="str">
        <f>IFERROR(Data_Caso_Propuesto[[#This Row],[Precio]]/Data_Caso_Propuesto[[#This Row],[Area Terreno]],"")</f>
        <v/>
      </c>
      <c r="O192" s="1" t="str">
        <f>IFERROR((Data_Caso_Propuesto[[#This Row],[Precio]]/Data_Caso_Propuesto[[#This Row],[Area Terreno]])/1000000,"")</f>
        <v/>
      </c>
      <c r="P192" s="1"/>
    </row>
    <row r="193" spans="1:16" x14ac:dyDescent="0.25">
      <c r="A193" t="s">
        <v>438</v>
      </c>
      <c r="B193" t="s">
        <v>93</v>
      </c>
      <c r="C193" t="s">
        <v>45</v>
      </c>
      <c r="D193" t="s">
        <v>15</v>
      </c>
      <c r="E193" t="s">
        <v>439</v>
      </c>
      <c r="F193" s="3" t="s">
        <v>16</v>
      </c>
      <c r="G193" s="3" t="s">
        <v>16</v>
      </c>
      <c r="H193" t="s">
        <v>77</v>
      </c>
      <c r="I193" t="s">
        <v>23</v>
      </c>
      <c r="J193">
        <v>16997000</v>
      </c>
      <c r="K193" t="s">
        <v>102</v>
      </c>
      <c r="L193" t="s">
        <v>15</v>
      </c>
      <c r="M193" s="1">
        <f>Data_Caso_Propuesto[[#This Row],[Precio]]</f>
        <v>16997000</v>
      </c>
      <c r="N193" s="1" t="str">
        <f>IFERROR(Data_Caso_Propuesto[[#This Row],[Precio]]/Data_Caso_Propuesto[[#This Row],[Area Terreno]],"")</f>
        <v/>
      </c>
      <c r="O193" s="1" t="str">
        <f>IFERROR((Data_Caso_Propuesto[[#This Row],[Precio]]/Data_Caso_Propuesto[[#This Row],[Area Terreno]])/1000000,"")</f>
        <v/>
      </c>
      <c r="P193" s="1"/>
    </row>
    <row r="194" spans="1:16" x14ac:dyDescent="0.25">
      <c r="A194" t="s">
        <v>440</v>
      </c>
      <c r="B194" t="s">
        <v>93</v>
      </c>
      <c r="C194" t="s">
        <v>45</v>
      </c>
      <c r="D194" t="s">
        <v>15</v>
      </c>
      <c r="E194" t="s">
        <v>441</v>
      </c>
      <c r="F194" s="3" t="s">
        <v>16</v>
      </c>
      <c r="G194" s="3" t="s">
        <v>16</v>
      </c>
      <c r="H194" t="s">
        <v>22</v>
      </c>
      <c r="I194" t="s">
        <v>23</v>
      </c>
      <c r="J194">
        <v>16997000</v>
      </c>
      <c r="K194" t="s">
        <v>102</v>
      </c>
      <c r="L194" t="s">
        <v>15</v>
      </c>
      <c r="M194" s="1">
        <f>Data_Caso_Propuesto[[#This Row],[Precio]]</f>
        <v>16997000</v>
      </c>
      <c r="N194" s="1" t="str">
        <f>IFERROR(Data_Caso_Propuesto[[#This Row],[Precio]]/Data_Caso_Propuesto[[#This Row],[Area Terreno]],"")</f>
        <v/>
      </c>
      <c r="O194" s="1" t="str">
        <f>IFERROR((Data_Caso_Propuesto[[#This Row],[Precio]]/Data_Caso_Propuesto[[#This Row],[Area Terreno]])/1000000,"")</f>
        <v/>
      </c>
      <c r="P194" s="1"/>
    </row>
    <row r="195" spans="1:16" x14ac:dyDescent="0.25">
      <c r="A195" t="s">
        <v>442</v>
      </c>
      <c r="B195" t="s">
        <v>93</v>
      </c>
      <c r="C195" t="s">
        <v>45</v>
      </c>
      <c r="D195" t="s">
        <v>15</v>
      </c>
      <c r="E195" t="s">
        <v>443</v>
      </c>
      <c r="F195" s="3" t="s">
        <v>16</v>
      </c>
      <c r="G195" s="3" t="s">
        <v>16</v>
      </c>
      <c r="H195" t="s">
        <v>22</v>
      </c>
      <c r="I195" t="s">
        <v>23</v>
      </c>
      <c r="J195">
        <v>16537000</v>
      </c>
      <c r="K195" t="s">
        <v>102</v>
      </c>
      <c r="L195" t="s">
        <v>15</v>
      </c>
      <c r="M195" s="1">
        <f>Data_Caso_Propuesto[[#This Row],[Precio]]</f>
        <v>16537000</v>
      </c>
      <c r="N195" s="1" t="str">
        <f>IFERROR(Data_Caso_Propuesto[[#This Row],[Precio]]/Data_Caso_Propuesto[[#This Row],[Area Terreno]],"")</f>
        <v/>
      </c>
      <c r="O195" s="1" t="str">
        <f>IFERROR((Data_Caso_Propuesto[[#This Row],[Precio]]/Data_Caso_Propuesto[[#This Row],[Area Terreno]])/1000000,"")</f>
        <v/>
      </c>
      <c r="P195" s="1"/>
    </row>
    <row r="196" spans="1:16" x14ac:dyDescent="0.25">
      <c r="A196" t="s">
        <v>444</v>
      </c>
      <c r="B196" t="s">
        <v>93</v>
      </c>
      <c r="C196" t="s">
        <v>45</v>
      </c>
      <c r="D196" t="s">
        <v>15</v>
      </c>
      <c r="E196" t="s">
        <v>445</v>
      </c>
      <c r="F196" s="3" t="s">
        <v>16</v>
      </c>
      <c r="G196" s="3" t="s">
        <v>16</v>
      </c>
      <c r="H196" t="s">
        <v>22</v>
      </c>
      <c r="I196" t="s">
        <v>23</v>
      </c>
      <c r="J196">
        <v>16491000</v>
      </c>
      <c r="K196" t="s">
        <v>102</v>
      </c>
      <c r="L196" t="s">
        <v>15</v>
      </c>
      <c r="M196" s="1">
        <f>Data_Caso_Propuesto[[#This Row],[Precio]]</f>
        <v>16491000</v>
      </c>
      <c r="N196" s="1" t="str">
        <f>IFERROR(Data_Caso_Propuesto[[#This Row],[Precio]]/Data_Caso_Propuesto[[#This Row],[Area Terreno]],"")</f>
        <v/>
      </c>
      <c r="O196" s="1" t="str">
        <f>IFERROR((Data_Caso_Propuesto[[#This Row],[Precio]]/Data_Caso_Propuesto[[#This Row],[Area Terreno]])/1000000,"")</f>
        <v/>
      </c>
      <c r="P196" s="1"/>
    </row>
    <row r="197" spans="1:16" x14ac:dyDescent="0.25">
      <c r="A197" t="s">
        <v>446</v>
      </c>
      <c r="B197" t="s">
        <v>93</v>
      </c>
      <c r="C197" t="s">
        <v>45</v>
      </c>
      <c r="D197" t="s">
        <v>15</v>
      </c>
      <c r="E197" t="s">
        <v>447</v>
      </c>
      <c r="F197" s="3" t="s">
        <v>16</v>
      </c>
      <c r="G197" s="3" t="s">
        <v>16</v>
      </c>
      <c r="H197" t="s">
        <v>22</v>
      </c>
      <c r="I197" t="s">
        <v>23</v>
      </c>
      <c r="J197">
        <v>16415000</v>
      </c>
      <c r="K197" t="s">
        <v>102</v>
      </c>
      <c r="L197" t="s">
        <v>15</v>
      </c>
      <c r="M197" s="1">
        <f>Data_Caso_Propuesto[[#This Row],[Precio]]</f>
        <v>16415000</v>
      </c>
      <c r="N197" s="1" t="str">
        <f>IFERROR(Data_Caso_Propuesto[[#This Row],[Precio]]/Data_Caso_Propuesto[[#This Row],[Area Terreno]],"")</f>
        <v/>
      </c>
      <c r="O197" s="1" t="str">
        <f>IFERROR((Data_Caso_Propuesto[[#This Row],[Precio]]/Data_Caso_Propuesto[[#This Row],[Area Terreno]])/1000000,"")</f>
        <v/>
      </c>
      <c r="P197" s="1"/>
    </row>
    <row r="198" spans="1:16" x14ac:dyDescent="0.25">
      <c r="A198" t="s">
        <v>448</v>
      </c>
      <c r="B198" t="s">
        <v>93</v>
      </c>
      <c r="C198" t="s">
        <v>45</v>
      </c>
      <c r="D198" t="s">
        <v>15</v>
      </c>
      <c r="E198" t="s">
        <v>449</v>
      </c>
      <c r="F198" s="3" t="s">
        <v>16</v>
      </c>
      <c r="G198" s="3" t="s">
        <v>16</v>
      </c>
      <c r="H198" t="s">
        <v>22</v>
      </c>
      <c r="I198" t="s">
        <v>23</v>
      </c>
      <c r="J198">
        <v>16169000</v>
      </c>
      <c r="K198" t="s">
        <v>102</v>
      </c>
      <c r="L198" t="s">
        <v>15</v>
      </c>
      <c r="M198" s="1">
        <f>Data_Caso_Propuesto[[#This Row],[Precio]]</f>
        <v>16169000</v>
      </c>
      <c r="N198" s="1" t="str">
        <f>IFERROR(Data_Caso_Propuesto[[#This Row],[Precio]]/Data_Caso_Propuesto[[#This Row],[Area Terreno]],"")</f>
        <v/>
      </c>
      <c r="O198" s="1" t="str">
        <f>IFERROR((Data_Caso_Propuesto[[#This Row],[Precio]]/Data_Caso_Propuesto[[#This Row],[Area Terreno]])/1000000,"")</f>
        <v/>
      </c>
      <c r="P198" s="1"/>
    </row>
    <row r="199" spans="1:16" x14ac:dyDescent="0.25">
      <c r="A199" t="s">
        <v>450</v>
      </c>
      <c r="B199" t="s">
        <v>93</v>
      </c>
      <c r="C199" t="s">
        <v>45</v>
      </c>
      <c r="D199" t="s">
        <v>15</v>
      </c>
      <c r="E199" t="s">
        <v>451</v>
      </c>
      <c r="F199" s="3" t="s">
        <v>16</v>
      </c>
      <c r="G199" s="3" t="s">
        <v>16</v>
      </c>
      <c r="H199" t="s">
        <v>22</v>
      </c>
      <c r="I199" t="s">
        <v>23</v>
      </c>
      <c r="J199">
        <v>16169000</v>
      </c>
      <c r="K199" t="s">
        <v>102</v>
      </c>
      <c r="L199" t="s">
        <v>15</v>
      </c>
      <c r="M199" s="1">
        <f>Data_Caso_Propuesto[[#This Row],[Precio]]</f>
        <v>16169000</v>
      </c>
      <c r="N199" s="1" t="str">
        <f>IFERROR(Data_Caso_Propuesto[[#This Row],[Precio]]/Data_Caso_Propuesto[[#This Row],[Area Terreno]],"")</f>
        <v/>
      </c>
      <c r="O199" s="1" t="str">
        <f>IFERROR((Data_Caso_Propuesto[[#This Row],[Precio]]/Data_Caso_Propuesto[[#This Row],[Area Terreno]])/1000000,"")</f>
        <v/>
      </c>
      <c r="P199" s="1"/>
    </row>
    <row r="200" spans="1:16" x14ac:dyDescent="0.25">
      <c r="A200" t="s">
        <v>452</v>
      </c>
      <c r="B200" t="s">
        <v>93</v>
      </c>
      <c r="C200" t="s">
        <v>45</v>
      </c>
      <c r="D200" t="s">
        <v>15</v>
      </c>
      <c r="E200" t="s">
        <v>453</v>
      </c>
      <c r="F200" s="3" t="s">
        <v>16</v>
      </c>
      <c r="G200" s="3" t="s">
        <v>16</v>
      </c>
      <c r="H200" t="s">
        <v>22</v>
      </c>
      <c r="I200" t="s">
        <v>23</v>
      </c>
      <c r="J200">
        <v>16169000</v>
      </c>
      <c r="K200" t="s">
        <v>102</v>
      </c>
      <c r="L200" t="s">
        <v>15</v>
      </c>
      <c r="M200" s="1">
        <f>Data_Caso_Propuesto[[#This Row],[Precio]]</f>
        <v>16169000</v>
      </c>
      <c r="N200" s="1" t="str">
        <f>IFERROR(Data_Caso_Propuesto[[#This Row],[Precio]]/Data_Caso_Propuesto[[#This Row],[Area Terreno]],"")</f>
        <v/>
      </c>
      <c r="O200" s="1" t="str">
        <f>IFERROR((Data_Caso_Propuesto[[#This Row],[Precio]]/Data_Caso_Propuesto[[#This Row],[Area Terreno]])/1000000,"")</f>
        <v/>
      </c>
      <c r="P200" s="1"/>
    </row>
    <row r="201" spans="1:16" x14ac:dyDescent="0.25">
      <c r="A201" t="s">
        <v>454</v>
      </c>
      <c r="B201" t="s">
        <v>93</v>
      </c>
      <c r="C201" t="s">
        <v>45</v>
      </c>
      <c r="D201" t="s">
        <v>15</v>
      </c>
      <c r="E201" t="s">
        <v>455</v>
      </c>
      <c r="F201" s="3" t="s">
        <v>16</v>
      </c>
      <c r="G201" s="3" t="s">
        <v>16</v>
      </c>
      <c r="H201" t="s">
        <v>22</v>
      </c>
      <c r="I201" t="s">
        <v>23</v>
      </c>
      <c r="J201">
        <v>16169000</v>
      </c>
      <c r="K201" t="s">
        <v>102</v>
      </c>
      <c r="L201" t="s">
        <v>15</v>
      </c>
      <c r="M201" s="1">
        <f>Data_Caso_Propuesto[[#This Row],[Precio]]</f>
        <v>16169000</v>
      </c>
      <c r="N201" s="1" t="str">
        <f>IFERROR(Data_Caso_Propuesto[[#This Row],[Precio]]/Data_Caso_Propuesto[[#This Row],[Area Terreno]],"")</f>
        <v/>
      </c>
      <c r="O201" s="1" t="str">
        <f>IFERROR((Data_Caso_Propuesto[[#This Row],[Precio]]/Data_Caso_Propuesto[[#This Row],[Area Terreno]])/1000000,"")</f>
        <v/>
      </c>
      <c r="P201" s="1"/>
    </row>
    <row r="202" spans="1:16" x14ac:dyDescent="0.25">
      <c r="A202" t="s">
        <v>456</v>
      </c>
      <c r="B202" t="s">
        <v>93</v>
      </c>
      <c r="C202" t="s">
        <v>45</v>
      </c>
      <c r="D202" t="s">
        <v>15</v>
      </c>
      <c r="E202" t="s">
        <v>457</v>
      </c>
      <c r="F202" s="3" t="s">
        <v>16</v>
      </c>
      <c r="G202" s="3" t="s">
        <v>16</v>
      </c>
      <c r="H202" t="s">
        <v>22</v>
      </c>
      <c r="I202" t="s">
        <v>23</v>
      </c>
      <c r="J202">
        <v>16169000</v>
      </c>
      <c r="K202" t="s">
        <v>102</v>
      </c>
      <c r="L202" t="s">
        <v>15</v>
      </c>
      <c r="M202" s="1">
        <f>Data_Caso_Propuesto[[#This Row],[Precio]]</f>
        <v>16169000</v>
      </c>
      <c r="N202" s="1" t="str">
        <f>IFERROR(Data_Caso_Propuesto[[#This Row],[Precio]]/Data_Caso_Propuesto[[#This Row],[Area Terreno]],"")</f>
        <v/>
      </c>
      <c r="O202" s="1" t="str">
        <f>IFERROR((Data_Caso_Propuesto[[#This Row],[Precio]]/Data_Caso_Propuesto[[#This Row],[Area Terreno]])/1000000,"")</f>
        <v/>
      </c>
      <c r="P202" s="1"/>
    </row>
    <row r="203" spans="1:16" x14ac:dyDescent="0.25">
      <c r="A203" t="s">
        <v>458</v>
      </c>
      <c r="B203" t="s">
        <v>93</v>
      </c>
      <c r="C203" t="s">
        <v>45</v>
      </c>
      <c r="D203" t="s">
        <v>15</v>
      </c>
      <c r="E203" t="s">
        <v>459</v>
      </c>
      <c r="F203" s="3" t="s">
        <v>16</v>
      </c>
      <c r="G203" s="3" t="s">
        <v>16</v>
      </c>
      <c r="H203" t="s">
        <v>22</v>
      </c>
      <c r="I203" t="s">
        <v>23</v>
      </c>
      <c r="J203">
        <v>16169000</v>
      </c>
      <c r="K203" t="s">
        <v>102</v>
      </c>
      <c r="L203" t="s">
        <v>15</v>
      </c>
      <c r="M203" s="1">
        <f>Data_Caso_Propuesto[[#This Row],[Precio]]</f>
        <v>16169000</v>
      </c>
      <c r="N203" s="1" t="str">
        <f>IFERROR(Data_Caso_Propuesto[[#This Row],[Precio]]/Data_Caso_Propuesto[[#This Row],[Area Terreno]],"")</f>
        <v/>
      </c>
      <c r="O203" s="1" t="str">
        <f>IFERROR((Data_Caso_Propuesto[[#This Row],[Precio]]/Data_Caso_Propuesto[[#This Row],[Area Terreno]])/1000000,"")</f>
        <v/>
      </c>
      <c r="P203" s="1"/>
    </row>
    <row r="204" spans="1:16" x14ac:dyDescent="0.25">
      <c r="A204" t="s">
        <v>460</v>
      </c>
      <c r="B204" t="s">
        <v>93</v>
      </c>
      <c r="C204" t="s">
        <v>45</v>
      </c>
      <c r="D204" t="s">
        <v>15</v>
      </c>
      <c r="E204" t="s">
        <v>461</v>
      </c>
      <c r="F204" s="3" t="s">
        <v>16</v>
      </c>
      <c r="G204" s="3" t="s">
        <v>16</v>
      </c>
      <c r="H204" t="s">
        <v>22</v>
      </c>
      <c r="I204" t="s">
        <v>23</v>
      </c>
      <c r="J204">
        <v>16169000</v>
      </c>
      <c r="K204" t="s">
        <v>102</v>
      </c>
      <c r="L204" t="s">
        <v>15</v>
      </c>
      <c r="M204" s="1">
        <f>Data_Caso_Propuesto[[#This Row],[Precio]]</f>
        <v>16169000</v>
      </c>
      <c r="N204" s="1" t="str">
        <f>IFERROR(Data_Caso_Propuesto[[#This Row],[Precio]]/Data_Caso_Propuesto[[#This Row],[Area Terreno]],"")</f>
        <v/>
      </c>
      <c r="O204" s="1" t="str">
        <f>IFERROR((Data_Caso_Propuesto[[#This Row],[Precio]]/Data_Caso_Propuesto[[#This Row],[Area Terreno]])/1000000,"")</f>
        <v/>
      </c>
      <c r="P204" s="1"/>
    </row>
    <row r="205" spans="1:16" x14ac:dyDescent="0.25">
      <c r="A205" t="s">
        <v>462</v>
      </c>
      <c r="B205" t="s">
        <v>93</v>
      </c>
      <c r="C205" t="s">
        <v>45</v>
      </c>
      <c r="D205" t="s">
        <v>15</v>
      </c>
      <c r="E205" t="s">
        <v>463</v>
      </c>
      <c r="F205" s="3" t="s">
        <v>16</v>
      </c>
      <c r="G205" s="3" t="s">
        <v>16</v>
      </c>
      <c r="H205" t="s">
        <v>22</v>
      </c>
      <c r="I205" t="s">
        <v>23</v>
      </c>
      <c r="J205">
        <v>16169000</v>
      </c>
      <c r="K205" t="s">
        <v>102</v>
      </c>
      <c r="L205" t="s">
        <v>15</v>
      </c>
      <c r="M205" s="1">
        <f>Data_Caso_Propuesto[[#This Row],[Precio]]</f>
        <v>16169000</v>
      </c>
      <c r="N205" s="1" t="str">
        <f>IFERROR(Data_Caso_Propuesto[[#This Row],[Precio]]/Data_Caso_Propuesto[[#This Row],[Area Terreno]],"")</f>
        <v/>
      </c>
      <c r="O205" s="1" t="str">
        <f>IFERROR((Data_Caso_Propuesto[[#This Row],[Precio]]/Data_Caso_Propuesto[[#This Row],[Area Terreno]])/1000000,"")</f>
        <v/>
      </c>
      <c r="P205" s="1"/>
    </row>
    <row r="206" spans="1:16" x14ac:dyDescent="0.25">
      <c r="A206" t="s">
        <v>464</v>
      </c>
      <c r="B206" t="s">
        <v>93</v>
      </c>
      <c r="C206" t="s">
        <v>45</v>
      </c>
      <c r="D206" t="s">
        <v>15</v>
      </c>
      <c r="E206" t="s">
        <v>465</v>
      </c>
      <c r="F206" s="3" t="s">
        <v>16</v>
      </c>
      <c r="G206" s="3" t="s">
        <v>16</v>
      </c>
      <c r="H206" t="s">
        <v>22</v>
      </c>
      <c r="I206" t="s">
        <v>23</v>
      </c>
      <c r="J206">
        <v>16169000</v>
      </c>
      <c r="K206" t="s">
        <v>102</v>
      </c>
      <c r="L206" t="s">
        <v>15</v>
      </c>
      <c r="M206" s="1">
        <f>Data_Caso_Propuesto[[#This Row],[Precio]]</f>
        <v>16169000</v>
      </c>
      <c r="N206" s="1" t="str">
        <f>IFERROR(Data_Caso_Propuesto[[#This Row],[Precio]]/Data_Caso_Propuesto[[#This Row],[Area Terreno]],"")</f>
        <v/>
      </c>
      <c r="O206" s="1" t="str">
        <f>IFERROR((Data_Caso_Propuesto[[#This Row],[Precio]]/Data_Caso_Propuesto[[#This Row],[Area Terreno]])/1000000,"")</f>
        <v/>
      </c>
      <c r="P206" s="1"/>
    </row>
    <row r="207" spans="1:16" x14ac:dyDescent="0.25">
      <c r="A207" t="s">
        <v>466</v>
      </c>
      <c r="B207" t="s">
        <v>93</v>
      </c>
      <c r="C207" t="s">
        <v>45</v>
      </c>
      <c r="D207" t="s">
        <v>15</v>
      </c>
      <c r="E207" t="s">
        <v>467</v>
      </c>
      <c r="F207" s="3" t="s">
        <v>16</v>
      </c>
      <c r="G207" s="3" t="s">
        <v>16</v>
      </c>
      <c r="H207" t="s">
        <v>22</v>
      </c>
      <c r="I207" t="s">
        <v>23</v>
      </c>
      <c r="J207">
        <v>16169000</v>
      </c>
      <c r="K207" t="s">
        <v>102</v>
      </c>
      <c r="L207" t="s">
        <v>15</v>
      </c>
      <c r="M207" s="1">
        <f>Data_Caso_Propuesto[[#This Row],[Precio]]</f>
        <v>16169000</v>
      </c>
      <c r="N207" s="1" t="str">
        <f>IFERROR(Data_Caso_Propuesto[[#This Row],[Precio]]/Data_Caso_Propuesto[[#This Row],[Area Terreno]],"")</f>
        <v/>
      </c>
      <c r="O207" s="1" t="str">
        <f>IFERROR((Data_Caso_Propuesto[[#This Row],[Precio]]/Data_Caso_Propuesto[[#This Row],[Area Terreno]])/1000000,"")</f>
        <v/>
      </c>
      <c r="P207" s="1"/>
    </row>
    <row r="208" spans="1:16" x14ac:dyDescent="0.25">
      <c r="A208" t="s">
        <v>468</v>
      </c>
      <c r="B208" t="s">
        <v>93</v>
      </c>
      <c r="C208" t="s">
        <v>45</v>
      </c>
      <c r="D208" t="s">
        <v>15</v>
      </c>
      <c r="E208" t="s">
        <v>469</v>
      </c>
      <c r="F208" s="3" t="s">
        <v>16</v>
      </c>
      <c r="G208" s="3" t="s">
        <v>16</v>
      </c>
      <c r="H208" t="s">
        <v>22</v>
      </c>
      <c r="I208" t="s">
        <v>23</v>
      </c>
      <c r="J208">
        <v>16169000</v>
      </c>
      <c r="K208" t="s">
        <v>102</v>
      </c>
      <c r="L208" t="s">
        <v>15</v>
      </c>
      <c r="M208" s="1">
        <f>Data_Caso_Propuesto[[#This Row],[Precio]]</f>
        <v>16169000</v>
      </c>
      <c r="N208" s="1" t="str">
        <f>IFERROR(Data_Caso_Propuesto[[#This Row],[Precio]]/Data_Caso_Propuesto[[#This Row],[Area Terreno]],"")</f>
        <v/>
      </c>
      <c r="O208" s="1" t="str">
        <f>IFERROR((Data_Caso_Propuesto[[#This Row],[Precio]]/Data_Caso_Propuesto[[#This Row],[Area Terreno]])/1000000,"")</f>
        <v/>
      </c>
      <c r="P208" s="1"/>
    </row>
    <row r="209" spans="1:16" x14ac:dyDescent="0.25">
      <c r="A209" t="s">
        <v>470</v>
      </c>
      <c r="B209" t="s">
        <v>93</v>
      </c>
      <c r="C209" t="s">
        <v>45</v>
      </c>
      <c r="D209" t="s">
        <v>15</v>
      </c>
      <c r="E209" t="s">
        <v>471</v>
      </c>
      <c r="F209" s="3" t="s">
        <v>16</v>
      </c>
      <c r="G209" s="3" t="s">
        <v>16</v>
      </c>
      <c r="H209" t="s">
        <v>22</v>
      </c>
      <c r="I209" t="s">
        <v>23</v>
      </c>
      <c r="J209">
        <v>16169000</v>
      </c>
      <c r="K209" t="s">
        <v>102</v>
      </c>
      <c r="L209" t="s">
        <v>15</v>
      </c>
      <c r="M209" s="1">
        <f>Data_Caso_Propuesto[[#This Row],[Precio]]</f>
        <v>16169000</v>
      </c>
      <c r="N209" s="1" t="str">
        <f>IFERROR(Data_Caso_Propuesto[[#This Row],[Precio]]/Data_Caso_Propuesto[[#This Row],[Area Terreno]],"")</f>
        <v/>
      </c>
      <c r="O209" s="1" t="str">
        <f>IFERROR((Data_Caso_Propuesto[[#This Row],[Precio]]/Data_Caso_Propuesto[[#This Row],[Area Terreno]])/1000000,"")</f>
        <v/>
      </c>
      <c r="P209" s="1"/>
    </row>
    <row r="210" spans="1:16" x14ac:dyDescent="0.25">
      <c r="A210" t="s">
        <v>472</v>
      </c>
      <c r="B210" t="s">
        <v>93</v>
      </c>
      <c r="C210" t="s">
        <v>45</v>
      </c>
      <c r="D210" t="s">
        <v>15</v>
      </c>
      <c r="E210" t="s">
        <v>473</v>
      </c>
      <c r="F210" s="3" t="s">
        <v>16</v>
      </c>
      <c r="G210" s="3" t="s">
        <v>16</v>
      </c>
      <c r="H210" t="s">
        <v>22</v>
      </c>
      <c r="I210" t="s">
        <v>23</v>
      </c>
      <c r="J210">
        <v>16169000</v>
      </c>
      <c r="K210" t="s">
        <v>102</v>
      </c>
      <c r="L210" t="s">
        <v>15</v>
      </c>
      <c r="M210" s="1">
        <f>Data_Caso_Propuesto[[#This Row],[Precio]]</f>
        <v>16169000</v>
      </c>
      <c r="N210" s="1" t="str">
        <f>IFERROR(Data_Caso_Propuesto[[#This Row],[Precio]]/Data_Caso_Propuesto[[#This Row],[Area Terreno]],"")</f>
        <v/>
      </c>
      <c r="O210" s="1" t="str">
        <f>IFERROR((Data_Caso_Propuesto[[#This Row],[Precio]]/Data_Caso_Propuesto[[#This Row],[Area Terreno]])/1000000,"")</f>
        <v/>
      </c>
      <c r="P210" s="1"/>
    </row>
    <row r="211" spans="1:16" x14ac:dyDescent="0.25">
      <c r="A211" t="s">
        <v>474</v>
      </c>
      <c r="B211" t="s">
        <v>93</v>
      </c>
      <c r="C211" t="s">
        <v>45</v>
      </c>
      <c r="D211" t="s">
        <v>15</v>
      </c>
      <c r="E211" t="s">
        <v>475</v>
      </c>
      <c r="F211" s="3" t="s">
        <v>16</v>
      </c>
      <c r="G211" s="3" t="s">
        <v>16</v>
      </c>
      <c r="H211" t="s">
        <v>22</v>
      </c>
      <c r="I211" t="s">
        <v>23</v>
      </c>
      <c r="J211">
        <v>16169000</v>
      </c>
      <c r="K211" t="s">
        <v>102</v>
      </c>
      <c r="L211" t="s">
        <v>15</v>
      </c>
      <c r="M211" s="1">
        <f>Data_Caso_Propuesto[[#This Row],[Precio]]</f>
        <v>16169000</v>
      </c>
      <c r="N211" s="1" t="str">
        <f>IFERROR(Data_Caso_Propuesto[[#This Row],[Precio]]/Data_Caso_Propuesto[[#This Row],[Area Terreno]],"")</f>
        <v/>
      </c>
      <c r="O211" s="1" t="str">
        <f>IFERROR((Data_Caso_Propuesto[[#This Row],[Precio]]/Data_Caso_Propuesto[[#This Row],[Area Terreno]])/1000000,"")</f>
        <v/>
      </c>
      <c r="P211" s="1"/>
    </row>
    <row r="212" spans="1:16" x14ac:dyDescent="0.25">
      <c r="A212" t="s">
        <v>476</v>
      </c>
      <c r="B212" t="s">
        <v>93</v>
      </c>
      <c r="C212" t="s">
        <v>45</v>
      </c>
      <c r="D212" t="s">
        <v>15</v>
      </c>
      <c r="E212" t="s">
        <v>477</v>
      </c>
      <c r="F212" s="3" t="s">
        <v>16</v>
      </c>
      <c r="G212" s="3" t="s">
        <v>16</v>
      </c>
      <c r="H212" t="s">
        <v>22</v>
      </c>
      <c r="I212" t="s">
        <v>23</v>
      </c>
      <c r="J212">
        <v>16169000</v>
      </c>
      <c r="K212" t="s">
        <v>102</v>
      </c>
      <c r="L212" t="s">
        <v>15</v>
      </c>
      <c r="M212" s="1">
        <f>Data_Caso_Propuesto[[#This Row],[Precio]]</f>
        <v>16169000</v>
      </c>
      <c r="N212" s="1" t="str">
        <f>IFERROR(Data_Caso_Propuesto[[#This Row],[Precio]]/Data_Caso_Propuesto[[#This Row],[Area Terreno]],"")</f>
        <v/>
      </c>
      <c r="O212" s="1" t="str">
        <f>IFERROR((Data_Caso_Propuesto[[#This Row],[Precio]]/Data_Caso_Propuesto[[#This Row],[Area Terreno]])/1000000,"")</f>
        <v/>
      </c>
      <c r="P212" s="1"/>
    </row>
    <row r="213" spans="1:16" x14ac:dyDescent="0.25">
      <c r="A213" t="s">
        <v>478</v>
      </c>
      <c r="B213" t="s">
        <v>93</v>
      </c>
      <c r="C213" t="s">
        <v>45</v>
      </c>
      <c r="D213" t="s">
        <v>15</v>
      </c>
      <c r="E213" t="s">
        <v>479</v>
      </c>
      <c r="F213" s="3" t="s">
        <v>16</v>
      </c>
      <c r="G213" s="3" t="s">
        <v>16</v>
      </c>
      <c r="H213" t="s">
        <v>22</v>
      </c>
      <c r="I213" t="s">
        <v>23</v>
      </c>
      <c r="J213">
        <v>16169000</v>
      </c>
      <c r="K213" t="s">
        <v>102</v>
      </c>
      <c r="L213" t="s">
        <v>15</v>
      </c>
      <c r="M213" s="1">
        <f>Data_Caso_Propuesto[[#This Row],[Precio]]</f>
        <v>16169000</v>
      </c>
      <c r="N213" s="1" t="str">
        <f>IFERROR(Data_Caso_Propuesto[[#This Row],[Precio]]/Data_Caso_Propuesto[[#This Row],[Area Terreno]],"")</f>
        <v/>
      </c>
      <c r="O213" s="1" t="str">
        <f>IFERROR((Data_Caso_Propuesto[[#This Row],[Precio]]/Data_Caso_Propuesto[[#This Row],[Area Terreno]])/1000000,"")</f>
        <v/>
      </c>
      <c r="P213" s="1"/>
    </row>
    <row r="214" spans="1:16" x14ac:dyDescent="0.25">
      <c r="A214" t="s">
        <v>480</v>
      </c>
      <c r="B214" t="s">
        <v>93</v>
      </c>
      <c r="C214" t="s">
        <v>45</v>
      </c>
      <c r="D214" t="s">
        <v>15</v>
      </c>
      <c r="E214" t="s">
        <v>481</v>
      </c>
      <c r="F214" s="3" t="s">
        <v>16</v>
      </c>
      <c r="G214" s="3" t="s">
        <v>16</v>
      </c>
      <c r="H214" t="s">
        <v>22</v>
      </c>
      <c r="I214" t="s">
        <v>23</v>
      </c>
      <c r="J214">
        <v>16169000</v>
      </c>
      <c r="K214" t="s">
        <v>102</v>
      </c>
      <c r="L214" t="s">
        <v>15</v>
      </c>
      <c r="M214" s="1">
        <f>Data_Caso_Propuesto[[#This Row],[Precio]]</f>
        <v>16169000</v>
      </c>
      <c r="N214" s="1" t="str">
        <f>IFERROR(Data_Caso_Propuesto[[#This Row],[Precio]]/Data_Caso_Propuesto[[#This Row],[Area Terreno]],"")</f>
        <v/>
      </c>
      <c r="O214" s="1" t="str">
        <f>IFERROR((Data_Caso_Propuesto[[#This Row],[Precio]]/Data_Caso_Propuesto[[#This Row],[Area Terreno]])/1000000,"")</f>
        <v/>
      </c>
      <c r="P214" s="1"/>
    </row>
    <row r="215" spans="1:16" x14ac:dyDescent="0.25">
      <c r="A215" t="s">
        <v>482</v>
      </c>
      <c r="B215" t="s">
        <v>93</v>
      </c>
      <c r="C215" t="s">
        <v>45</v>
      </c>
      <c r="D215" t="s">
        <v>15</v>
      </c>
      <c r="E215" t="s">
        <v>483</v>
      </c>
      <c r="F215" s="3" t="s">
        <v>16</v>
      </c>
      <c r="G215" s="3" t="s">
        <v>16</v>
      </c>
      <c r="H215" t="s">
        <v>22</v>
      </c>
      <c r="I215" t="s">
        <v>23</v>
      </c>
      <c r="J215">
        <v>16169000</v>
      </c>
      <c r="K215" t="s">
        <v>102</v>
      </c>
      <c r="L215" t="s">
        <v>15</v>
      </c>
      <c r="M215" s="1">
        <f>Data_Caso_Propuesto[[#This Row],[Precio]]</f>
        <v>16169000</v>
      </c>
      <c r="N215" s="1" t="str">
        <f>IFERROR(Data_Caso_Propuesto[[#This Row],[Precio]]/Data_Caso_Propuesto[[#This Row],[Area Terreno]],"")</f>
        <v/>
      </c>
      <c r="O215" s="1" t="str">
        <f>IFERROR((Data_Caso_Propuesto[[#This Row],[Precio]]/Data_Caso_Propuesto[[#This Row],[Area Terreno]])/1000000,"")</f>
        <v/>
      </c>
      <c r="P215" s="1"/>
    </row>
    <row r="216" spans="1:16" x14ac:dyDescent="0.25">
      <c r="A216" t="s">
        <v>484</v>
      </c>
      <c r="B216" t="s">
        <v>93</v>
      </c>
      <c r="C216" t="s">
        <v>45</v>
      </c>
      <c r="D216" t="s">
        <v>15</v>
      </c>
      <c r="E216" t="s">
        <v>485</v>
      </c>
      <c r="F216" s="3" t="s">
        <v>16</v>
      </c>
      <c r="G216" s="3" t="s">
        <v>16</v>
      </c>
      <c r="H216" t="s">
        <v>22</v>
      </c>
      <c r="I216" t="s">
        <v>23</v>
      </c>
      <c r="J216">
        <v>16169000</v>
      </c>
      <c r="K216" t="s">
        <v>102</v>
      </c>
      <c r="L216" t="s">
        <v>15</v>
      </c>
      <c r="M216" s="1">
        <f>Data_Caso_Propuesto[[#This Row],[Precio]]</f>
        <v>16169000</v>
      </c>
      <c r="N216" s="1" t="str">
        <f>IFERROR(Data_Caso_Propuesto[[#This Row],[Precio]]/Data_Caso_Propuesto[[#This Row],[Area Terreno]],"")</f>
        <v/>
      </c>
      <c r="O216" s="1" t="str">
        <f>IFERROR((Data_Caso_Propuesto[[#This Row],[Precio]]/Data_Caso_Propuesto[[#This Row],[Area Terreno]])/1000000,"")</f>
        <v/>
      </c>
      <c r="P216" s="1"/>
    </row>
    <row r="217" spans="1:16" x14ac:dyDescent="0.25">
      <c r="A217" t="s">
        <v>486</v>
      </c>
      <c r="B217" t="s">
        <v>93</v>
      </c>
      <c r="C217" t="s">
        <v>45</v>
      </c>
      <c r="D217" t="s">
        <v>15</v>
      </c>
      <c r="E217" t="s">
        <v>487</v>
      </c>
      <c r="F217" s="3" t="s">
        <v>16</v>
      </c>
      <c r="G217" s="3" t="s">
        <v>16</v>
      </c>
      <c r="H217" t="s">
        <v>22</v>
      </c>
      <c r="I217" t="s">
        <v>23</v>
      </c>
      <c r="J217">
        <v>16169000</v>
      </c>
      <c r="K217" t="s">
        <v>102</v>
      </c>
      <c r="L217" t="s">
        <v>15</v>
      </c>
      <c r="M217" s="1">
        <f>Data_Caso_Propuesto[[#This Row],[Precio]]</f>
        <v>16169000</v>
      </c>
      <c r="N217" s="1" t="str">
        <f>IFERROR(Data_Caso_Propuesto[[#This Row],[Precio]]/Data_Caso_Propuesto[[#This Row],[Area Terreno]],"")</f>
        <v/>
      </c>
      <c r="O217" s="1" t="str">
        <f>IFERROR((Data_Caso_Propuesto[[#This Row],[Precio]]/Data_Caso_Propuesto[[#This Row],[Area Terreno]])/1000000,"")</f>
        <v/>
      </c>
      <c r="P217" s="1"/>
    </row>
    <row r="218" spans="1:16" x14ac:dyDescent="0.25">
      <c r="A218" t="s">
        <v>488</v>
      </c>
      <c r="B218" t="s">
        <v>155</v>
      </c>
      <c r="C218" t="s">
        <v>156</v>
      </c>
      <c r="D218" t="s">
        <v>489</v>
      </c>
      <c r="E218" t="s">
        <v>1094</v>
      </c>
      <c r="F218" s="3" t="s">
        <v>16</v>
      </c>
      <c r="G218" s="3" t="s">
        <v>16</v>
      </c>
      <c r="H218" t="s">
        <v>22</v>
      </c>
      <c r="I218" t="s">
        <v>23</v>
      </c>
      <c r="J218">
        <v>1589428800</v>
      </c>
      <c r="K218" t="s">
        <v>24</v>
      </c>
      <c r="L218" t="s">
        <v>15</v>
      </c>
      <c r="M218" s="1">
        <f>Data_Caso_Propuesto[[#This Row],[Precio]]</f>
        <v>1589428800</v>
      </c>
      <c r="N218" s="1" t="str">
        <f>IFERROR(Data_Caso_Propuesto[[#This Row],[Precio]]/Data_Caso_Propuesto[[#This Row],[Area Terreno]],"")</f>
        <v/>
      </c>
      <c r="O218" s="1" t="str">
        <f>IFERROR((Data_Caso_Propuesto[[#This Row],[Precio]]/Data_Caso_Propuesto[[#This Row],[Area Terreno]])/1000000,"")</f>
        <v/>
      </c>
      <c r="P218" s="1"/>
    </row>
    <row r="219" spans="1:16" x14ac:dyDescent="0.25">
      <c r="A219" t="s">
        <v>490</v>
      </c>
      <c r="B219" t="s">
        <v>93</v>
      </c>
      <c r="C219" t="s">
        <v>45</v>
      </c>
      <c r="D219" t="s">
        <v>15</v>
      </c>
      <c r="E219" t="s">
        <v>491</v>
      </c>
      <c r="F219" s="3" t="s">
        <v>16</v>
      </c>
      <c r="G219" s="3" t="s">
        <v>16</v>
      </c>
      <c r="H219" t="s">
        <v>22</v>
      </c>
      <c r="I219" t="s">
        <v>23</v>
      </c>
      <c r="J219">
        <v>15974000</v>
      </c>
      <c r="K219" t="s">
        <v>102</v>
      </c>
      <c r="L219" t="s">
        <v>15</v>
      </c>
      <c r="M219" s="1">
        <f>Data_Caso_Propuesto[[#This Row],[Precio]]</f>
        <v>15974000</v>
      </c>
      <c r="N219" s="1" t="str">
        <f>IFERROR(Data_Caso_Propuesto[[#This Row],[Precio]]/Data_Caso_Propuesto[[#This Row],[Area Terreno]],"")</f>
        <v/>
      </c>
      <c r="O219" s="1" t="str">
        <f>IFERROR((Data_Caso_Propuesto[[#This Row],[Precio]]/Data_Caso_Propuesto[[#This Row],[Area Terreno]])/1000000,"")</f>
        <v/>
      </c>
      <c r="P219" s="1"/>
    </row>
    <row r="220" spans="1:16" x14ac:dyDescent="0.25">
      <c r="A220" t="s">
        <v>492</v>
      </c>
      <c r="B220" t="s">
        <v>93</v>
      </c>
      <c r="C220" t="s">
        <v>45</v>
      </c>
      <c r="D220" t="s">
        <v>15</v>
      </c>
      <c r="E220" t="s">
        <v>493</v>
      </c>
      <c r="F220" s="3" t="s">
        <v>16</v>
      </c>
      <c r="G220" s="3" t="s">
        <v>16</v>
      </c>
      <c r="H220" t="s">
        <v>77</v>
      </c>
      <c r="I220" t="s">
        <v>23</v>
      </c>
      <c r="J220">
        <v>15870000</v>
      </c>
      <c r="K220" t="s">
        <v>102</v>
      </c>
      <c r="L220" t="s">
        <v>15</v>
      </c>
      <c r="M220" s="1">
        <f>Data_Caso_Propuesto[[#This Row],[Precio]]</f>
        <v>15870000</v>
      </c>
      <c r="N220" s="1" t="str">
        <f>IFERROR(Data_Caso_Propuesto[[#This Row],[Precio]]/Data_Caso_Propuesto[[#This Row],[Area Terreno]],"")</f>
        <v/>
      </c>
      <c r="O220" s="1" t="str">
        <f>IFERROR((Data_Caso_Propuesto[[#This Row],[Precio]]/Data_Caso_Propuesto[[#This Row],[Area Terreno]])/1000000,"")</f>
        <v/>
      </c>
      <c r="P220" s="1"/>
    </row>
    <row r="221" spans="1:16" x14ac:dyDescent="0.25">
      <c r="A221" t="s">
        <v>494</v>
      </c>
      <c r="B221" t="s">
        <v>93</v>
      </c>
      <c r="C221" t="s">
        <v>45</v>
      </c>
      <c r="D221" t="s">
        <v>15</v>
      </c>
      <c r="E221" t="s">
        <v>495</v>
      </c>
      <c r="F221" s="3" t="s">
        <v>16</v>
      </c>
      <c r="G221" s="3" t="s">
        <v>16</v>
      </c>
      <c r="H221" t="s">
        <v>77</v>
      </c>
      <c r="I221" t="s">
        <v>23</v>
      </c>
      <c r="J221">
        <v>15870000</v>
      </c>
      <c r="K221" t="s">
        <v>102</v>
      </c>
      <c r="L221" t="s">
        <v>15</v>
      </c>
      <c r="M221" s="1">
        <f>Data_Caso_Propuesto[[#This Row],[Precio]]</f>
        <v>15870000</v>
      </c>
      <c r="N221" s="1" t="str">
        <f>IFERROR(Data_Caso_Propuesto[[#This Row],[Precio]]/Data_Caso_Propuesto[[#This Row],[Area Terreno]],"")</f>
        <v/>
      </c>
      <c r="O221" s="1" t="str">
        <f>IFERROR((Data_Caso_Propuesto[[#This Row],[Precio]]/Data_Caso_Propuesto[[#This Row],[Area Terreno]])/1000000,"")</f>
        <v/>
      </c>
      <c r="P221" s="1"/>
    </row>
    <row r="222" spans="1:16" x14ac:dyDescent="0.25">
      <c r="A222" t="s">
        <v>496</v>
      </c>
      <c r="B222" t="s">
        <v>93</v>
      </c>
      <c r="C222" t="s">
        <v>45</v>
      </c>
      <c r="D222" t="s">
        <v>15</v>
      </c>
      <c r="E222" t="s">
        <v>497</v>
      </c>
      <c r="F222" s="3" t="s">
        <v>16</v>
      </c>
      <c r="G222" s="3" t="s">
        <v>16</v>
      </c>
      <c r="H222" t="s">
        <v>22</v>
      </c>
      <c r="I222" t="s">
        <v>23</v>
      </c>
      <c r="J222">
        <v>15870000</v>
      </c>
      <c r="K222" t="s">
        <v>102</v>
      </c>
      <c r="L222" t="s">
        <v>15</v>
      </c>
      <c r="M222" s="1">
        <f>Data_Caso_Propuesto[[#This Row],[Precio]]</f>
        <v>15870000</v>
      </c>
      <c r="N222" s="1" t="str">
        <f>IFERROR(Data_Caso_Propuesto[[#This Row],[Precio]]/Data_Caso_Propuesto[[#This Row],[Area Terreno]],"")</f>
        <v/>
      </c>
      <c r="O222" s="1" t="str">
        <f>IFERROR((Data_Caso_Propuesto[[#This Row],[Precio]]/Data_Caso_Propuesto[[#This Row],[Area Terreno]])/1000000,"")</f>
        <v/>
      </c>
      <c r="P222" s="1"/>
    </row>
    <row r="223" spans="1:16" x14ac:dyDescent="0.25">
      <c r="A223" t="s">
        <v>498</v>
      </c>
      <c r="B223" t="s">
        <v>93</v>
      </c>
      <c r="C223" t="s">
        <v>45</v>
      </c>
      <c r="D223" t="s">
        <v>15</v>
      </c>
      <c r="E223" t="s">
        <v>499</v>
      </c>
      <c r="F223" s="3" t="s">
        <v>16</v>
      </c>
      <c r="G223" s="3" t="s">
        <v>16</v>
      </c>
      <c r="H223" t="s">
        <v>22</v>
      </c>
      <c r="I223" t="s">
        <v>23</v>
      </c>
      <c r="J223">
        <v>15870000</v>
      </c>
      <c r="K223" t="s">
        <v>102</v>
      </c>
      <c r="L223" t="s">
        <v>15</v>
      </c>
      <c r="M223" s="1">
        <f>Data_Caso_Propuesto[[#This Row],[Precio]]</f>
        <v>15870000</v>
      </c>
      <c r="N223" s="1" t="str">
        <f>IFERROR(Data_Caso_Propuesto[[#This Row],[Precio]]/Data_Caso_Propuesto[[#This Row],[Area Terreno]],"")</f>
        <v/>
      </c>
      <c r="O223" s="1" t="str">
        <f>IFERROR((Data_Caso_Propuesto[[#This Row],[Precio]]/Data_Caso_Propuesto[[#This Row],[Area Terreno]])/1000000,"")</f>
        <v/>
      </c>
      <c r="P223" s="1"/>
    </row>
    <row r="224" spans="1:16" x14ac:dyDescent="0.25">
      <c r="A224" t="s">
        <v>500</v>
      </c>
      <c r="B224" t="s">
        <v>93</v>
      </c>
      <c r="C224" t="s">
        <v>45</v>
      </c>
      <c r="D224" t="s">
        <v>15</v>
      </c>
      <c r="E224" t="s">
        <v>501</v>
      </c>
      <c r="F224" s="3" t="s">
        <v>16</v>
      </c>
      <c r="G224" s="3" t="s">
        <v>16</v>
      </c>
      <c r="H224" t="s">
        <v>22</v>
      </c>
      <c r="I224" t="s">
        <v>23</v>
      </c>
      <c r="J224">
        <v>15870000</v>
      </c>
      <c r="K224" t="s">
        <v>102</v>
      </c>
      <c r="L224" t="s">
        <v>15</v>
      </c>
      <c r="M224" s="1">
        <f>Data_Caso_Propuesto[[#This Row],[Precio]]</f>
        <v>15870000</v>
      </c>
      <c r="N224" s="1" t="str">
        <f>IFERROR(Data_Caso_Propuesto[[#This Row],[Precio]]/Data_Caso_Propuesto[[#This Row],[Area Terreno]],"")</f>
        <v/>
      </c>
      <c r="O224" s="1" t="str">
        <f>IFERROR((Data_Caso_Propuesto[[#This Row],[Precio]]/Data_Caso_Propuesto[[#This Row],[Area Terreno]])/1000000,"")</f>
        <v/>
      </c>
      <c r="P224" s="1"/>
    </row>
    <row r="225" spans="1:16" x14ac:dyDescent="0.25">
      <c r="A225" t="s">
        <v>502</v>
      </c>
      <c r="B225" t="s">
        <v>93</v>
      </c>
      <c r="C225" t="s">
        <v>45</v>
      </c>
      <c r="D225" t="s">
        <v>15</v>
      </c>
      <c r="E225" t="s">
        <v>503</v>
      </c>
      <c r="F225" s="3" t="s">
        <v>16</v>
      </c>
      <c r="G225" s="3" t="s">
        <v>16</v>
      </c>
      <c r="H225" t="s">
        <v>22</v>
      </c>
      <c r="I225" t="s">
        <v>23</v>
      </c>
      <c r="J225">
        <v>15870000</v>
      </c>
      <c r="K225" t="s">
        <v>102</v>
      </c>
      <c r="L225" t="s">
        <v>15</v>
      </c>
      <c r="M225" s="1">
        <f>Data_Caso_Propuesto[[#This Row],[Precio]]</f>
        <v>15870000</v>
      </c>
      <c r="N225" s="1" t="str">
        <f>IFERROR(Data_Caso_Propuesto[[#This Row],[Precio]]/Data_Caso_Propuesto[[#This Row],[Area Terreno]],"")</f>
        <v/>
      </c>
      <c r="O225" s="1" t="str">
        <f>IFERROR((Data_Caso_Propuesto[[#This Row],[Precio]]/Data_Caso_Propuesto[[#This Row],[Area Terreno]])/1000000,"")</f>
        <v/>
      </c>
      <c r="P225" s="1"/>
    </row>
    <row r="226" spans="1:16" x14ac:dyDescent="0.25">
      <c r="A226" t="s">
        <v>504</v>
      </c>
      <c r="B226" t="s">
        <v>93</v>
      </c>
      <c r="C226" t="s">
        <v>45</v>
      </c>
      <c r="D226" t="s">
        <v>15</v>
      </c>
      <c r="E226" t="s">
        <v>505</v>
      </c>
      <c r="F226" s="3" t="s">
        <v>16</v>
      </c>
      <c r="G226" s="3" t="s">
        <v>16</v>
      </c>
      <c r="H226" t="s">
        <v>77</v>
      </c>
      <c r="I226" t="s">
        <v>23</v>
      </c>
      <c r="J226">
        <v>15870000</v>
      </c>
      <c r="K226" t="s">
        <v>102</v>
      </c>
      <c r="L226" t="s">
        <v>15</v>
      </c>
      <c r="M226" s="1">
        <f>Data_Caso_Propuesto[[#This Row],[Precio]]</f>
        <v>15870000</v>
      </c>
      <c r="N226" s="1" t="str">
        <f>IFERROR(Data_Caso_Propuesto[[#This Row],[Precio]]/Data_Caso_Propuesto[[#This Row],[Area Terreno]],"")</f>
        <v/>
      </c>
      <c r="O226" s="1" t="str">
        <f>IFERROR((Data_Caso_Propuesto[[#This Row],[Precio]]/Data_Caso_Propuesto[[#This Row],[Area Terreno]])/1000000,"")</f>
        <v/>
      </c>
      <c r="P226" s="1"/>
    </row>
    <row r="227" spans="1:16" x14ac:dyDescent="0.25">
      <c r="A227" t="s">
        <v>506</v>
      </c>
      <c r="B227" t="s">
        <v>93</v>
      </c>
      <c r="C227" t="s">
        <v>45</v>
      </c>
      <c r="D227" t="s">
        <v>15</v>
      </c>
      <c r="E227" t="s">
        <v>507</v>
      </c>
      <c r="F227" s="3" t="s">
        <v>16</v>
      </c>
      <c r="G227" s="3" t="s">
        <v>16</v>
      </c>
      <c r="H227" t="s">
        <v>77</v>
      </c>
      <c r="I227" t="s">
        <v>23</v>
      </c>
      <c r="J227">
        <v>15870000</v>
      </c>
      <c r="K227" t="s">
        <v>102</v>
      </c>
      <c r="L227" t="s">
        <v>15</v>
      </c>
      <c r="M227" s="1">
        <f>Data_Caso_Propuesto[[#This Row],[Precio]]</f>
        <v>15870000</v>
      </c>
      <c r="N227" s="1" t="str">
        <f>IFERROR(Data_Caso_Propuesto[[#This Row],[Precio]]/Data_Caso_Propuesto[[#This Row],[Area Terreno]],"")</f>
        <v/>
      </c>
      <c r="O227" s="1" t="str">
        <f>IFERROR((Data_Caso_Propuesto[[#This Row],[Precio]]/Data_Caso_Propuesto[[#This Row],[Area Terreno]])/1000000,"")</f>
        <v/>
      </c>
      <c r="P227" s="1"/>
    </row>
    <row r="228" spans="1:16" x14ac:dyDescent="0.25">
      <c r="A228" t="s">
        <v>508</v>
      </c>
      <c r="B228" t="s">
        <v>93</v>
      </c>
      <c r="C228" t="s">
        <v>45</v>
      </c>
      <c r="D228" t="s">
        <v>15</v>
      </c>
      <c r="E228" t="s">
        <v>509</v>
      </c>
      <c r="F228" s="3" t="s">
        <v>16</v>
      </c>
      <c r="G228" s="3" t="s">
        <v>16</v>
      </c>
      <c r="H228" t="s">
        <v>22</v>
      </c>
      <c r="I228" t="s">
        <v>23</v>
      </c>
      <c r="J228">
        <v>15870000</v>
      </c>
      <c r="K228" t="s">
        <v>102</v>
      </c>
      <c r="L228" t="s">
        <v>15</v>
      </c>
      <c r="M228" s="1">
        <f>Data_Caso_Propuesto[[#This Row],[Precio]]</f>
        <v>15870000</v>
      </c>
      <c r="N228" s="1" t="str">
        <f>IFERROR(Data_Caso_Propuesto[[#This Row],[Precio]]/Data_Caso_Propuesto[[#This Row],[Area Terreno]],"")</f>
        <v/>
      </c>
      <c r="O228" s="1" t="str">
        <f>IFERROR((Data_Caso_Propuesto[[#This Row],[Precio]]/Data_Caso_Propuesto[[#This Row],[Area Terreno]])/1000000,"")</f>
        <v/>
      </c>
      <c r="P228" s="1"/>
    </row>
    <row r="229" spans="1:16" x14ac:dyDescent="0.25">
      <c r="A229" t="s">
        <v>510</v>
      </c>
      <c r="B229" t="s">
        <v>93</v>
      </c>
      <c r="C229" t="s">
        <v>45</v>
      </c>
      <c r="D229" t="s">
        <v>15</v>
      </c>
      <c r="E229" t="s">
        <v>511</v>
      </c>
      <c r="F229" s="3" t="s">
        <v>16</v>
      </c>
      <c r="G229" s="3" t="s">
        <v>16</v>
      </c>
      <c r="H229" t="s">
        <v>22</v>
      </c>
      <c r="I229" t="s">
        <v>23</v>
      </c>
      <c r="J229">
        <v>15870000</v>
      </c>
      <c r="K229" t="s">
        <v>102</v>
      </c>
      <c r="L229" t="s">
        <v>15</v>
      </c>
      <c r="M229" s="1">
        <f>Data_Caso_Propuesto[[#This Row],[Precio]]</f>
        <v>15870000</v>
      </c>
      <c r="N229" s="1" t="str">
        <f>IFERROR(Data_Caso_Propuesto[[#This Row],[Precio]]/Data_Caso_Propuesto[[#This Row],[Area Terreno]],"")</f>
        <v/>
      </c>
      <c r="O229" s="1" t="str">
        <f>IFERROR((Data_Caso_Propuesto[[#This Row],[Precio]]/Data_Caso_Propuesto[[#This Row],[Area Terreno]])/1000000,"")</f>
        <v/>
      </c>
      <c r="P229" s="1"/>
    </row>
    <row r="230" spans="1:16" x14ac:dyDescent="0.25">
      <c r="A230" t="s">
        <v>512</v>
      </c>
      <c r="B230" t="s">
        <v>93</v>
      </c>
      <c r="C230" t="s">
        <v>45</v>
      </c>
      <c r="D230" t="s">
        <v>15</v>
      </c>
      <c r="E230" t="s">
        <v>513</v>
      </c>
      <c r="F230" s="3" t="s">
        <v>16</v>
      </c>
      <c r="G230" s="3" t="s">
        <v>16</v>
      </c>
      <c r="H230" t="s">
        <v>22</v>
      </c>
      <c r="I230" t="s">
        <v>23</v>
      </c>
      <c r="J230">
        <v>15870000</v>
      </c>
      <c r="K230" t="s">
        <v>102</v>
      </c>
      <c r="L230" t="s">
        <v>15</v>
      </c>
      <c r="M230" s="1">
        <f>Data_Caso_Propuesto[[#This Row],[Precio]]</f>
        <v>15870000</v>
      </c>
      <c r="N230" s="1" t="str">
        <f>IFERROR(Data_Caso_Propuesto[[#This Row],[Precio]]/Data_Caso_Propuesto[[#This Row],[Area Terreno]],"")</f>
        <v/>
      </c>
      <c r="O230" s="1" t="str">
        <f>IFERROR((Data_Caso_Propuesto[[#This Row],[Precio]]/Data_Caso_Propuesto[[#This Row],[Area Terreno]])/1000000,"")</f>
        <v/>
      </c>
      <c r="P230" s="1"/>
    </row>
    <row r="231" spans="1:16" x14ac:dyDescent="0.25">
      <c r="A231" t="s">
        <v>514</v>
      </c>
      <c r="B231" t="s">
        <v>93</v>
      </c>
      <c r="C231" t="s">
        <v>45</v>
      </c>
      <c r="D231" t="s">
        <v>15</v>
      </c>
      <c r="E231" t="s">
        <v>515</v>
      </c>
      <c r="F231" s="3" t="s">
        <v>16</v>
      </c>
      <c r="G231" s="3" t="s">
        <v>16</v>
      </c>
      <c r="H231" t="s">
        <v>22</v>
      </c>
      <c r="I231" t="s">
        <v>23</v>
      </c>
      <c r="J231">
        <v>15870000</v>
      </c>
      <c r="K231" t="s">
        <v>102</v>
      </c>
      <c r="L231" t="s">
        <v>15</v>
      </c>
      <c r="M231" s="1">
        <f>Data_Caso_Propuesto[[#This Row],[Precio]]</f>
        <v>15870000</v>
      </c>
      <c r="N231" s="1" t="str">
        <f>IFERROR(Data_Caso_Propuesto[[#This Row],[Precio]]/Data_Caso_Propuesto[[#This Row],[Area Terreno]],"")</f>
        <v/>
      </c>
      <c r="O231" s="1" t="str">
        <f>IFERROR((Data_Caso_Propuesto[[#This Row],[Precio]]/Data_Caso_Propuesto[[#This Row],[Area Terreno]])/1000000,"")</f>
        <v/>
      </c>
      <c r="P231" s="1"/>
    </row>
    <row r="232" spans="1:16" x14ac:dyDescent="0.25">
      <c r="A232" t="s">
        <v>516</v>
      </c>
      <c r="B232" t="s">
        <v>93</v>
      </c>
      <c r="C232" t="s">
        <v>45</v>
      </c>
      <c r="D232" t="s">
        <v>15</v>
      </c>
      <c r="E232" t="s">
        <v>517</v>
      </c>
      <c r="F232" s="3" t="s">
        <v>16</v>
      </c>
      <c r="G232" s="3" t="s">
        <v>16</v>
      </c>
      <c r="H232" t="s">
        <v>22</v>
      </c>
      <c r="I232" t="s">
        <v>23</v>
      </c>
      <c r="J232">
        <v>15870000</v>
      </c>
      <c r="K232" t="s">
        <v>102</v>
      </c>
      <c r="L232" t="s">
        <v>15</v>
      </c>
      <c r="M232" s="1">
        <f>Data_Caso_Propuesto[[#This Row],[Precio]]</f>
        <v>15870000</v>
      </c>
      <c r="N232" s="1" t="str">
        <f>IFERROR(Data_Caso_Propuesto[[#This Row],[Precio]]/Data_Caso_Propuesto[[#This Row],[Area Terreno]],"")</f>
        <v/>
      </c>
      <c r="O232" s="1" t="str">
        <f>IFERROR((Data_Caso_Propuesto[[#This Row],[Precio]]/Data_Caso_Propuesto[[#This Row],[Area Terreno]])/1000000,"")</f>
        <v/>
      </c>
      <c r="P232" s="1"/>
    </row>
    <row r="233" spans="1:16" x14ac:dyDescent="0.25">
      <c r="A233" t="s">
        <v>518</v>
      </c>
      <c r="B233" t="s">
        <v>93</v>
      </c>
      <c r="C233" t="s">
        <v>45</v>
      </c>
      <c r="D233" t="s">
        <v>15</v>
      </c>
      <c r="E233" t="s">
        <v>519</v>
      </c>
      <c r="F233" s="3" t="s">
        <v>16</v>
      </c>
      <c r="G233" s="3" t="s">
        <v>16</v>
      </c>
      <c r="H233" t="s">
        <v>22</v>
      </c>
      <c r="I233" t="s">
        <v>23</v>
      </c>
      <c r="J233">
        <v>15870000</v>
      </c>
      <c r="K233" t="s">
        <v>102</v>
      </c>
      <c r="L233" t="s">
        <v>15</v>
      </c>
      <c r="M233" s="1">
        <f>Data_Caso_Propuesto[[#This Row],[Precio]]</f>
        <v>15870000</v>
      </c>
      <c r="N233" s="1" t="str">
        <f>IFERROR(Data_Caso_Propuesto[[#This Row],[Precio]]/Data_Caso_Propuesto[[#This Row],[Area Terreno]],"")</f>
        <v/>
      </c>
      <c r="O233" s="1" t="str">
        <f>IFERROR((Data_Caso_Propuesto[[#This Row],[Precio]]/Data_Caso_Propuesto[[#This Row],[Area Terreno]])/1000000,"")</f>
        <v/>
      </c>
      <c r="P233" s="1"/>
    </row>
    <row r="234" spans="1:16" x14ac:dyDescent="0.25">
      <c r="A234" t="s">
        <v>520</v>
      </c>
      <c r="B234" t="s">
        <v>93</v>
      </c>
      <c r="C234" t="s">
        <v>45</v>
      </c>
      <c r="D234" t="s">
        <v>15</v>
      </c>
      <c r="E234" t="s">
        <v>521</v>
      </c>
      <c r="F234" s="3" t="s">
        <v>16</v>
      </c>
      <c r="G234" s="3" t="s">
        <v>16</v>
      </c>
      <c r="H234" t="s">
        <v>22</v>
      </c>
      <c r="I234" t="s">
        <v>23</v>
      </c>
      <c r="J234">
        <v>15870000</v>
      </c>
      <c r="K234" t="s">
        <v>102</v>
      </c>
      <c r="L234" t="s">
        <v>15</v>
      </c>
      <c r="M234" s="1">
        <f>Data_Caso_Propuesto[[#This Row],[Precio]]</f>
        <v>15870000</v>
      </c>
      <c r="N234" s="1" t="str">
        <f>IFERROR(Data_Caso_Propuesto[[#This Row],[Precio]]/Data_Caso_Propuesto[[#This Row],[Area Terreno]],"")</f>
        <v/>
      </c>
      <c r="O234" s="1" t="str">
        <f>IFERROR((Data_Caso_Propuesto[[#This Row],[Precio]]/Data_Caso_Propuesto[[#This Row],[Area Terreno]])/1000000,"")</f>
        <v/>
      </c>
      <c r="P234" s="1"/>
    </row>
    <row r="235" spans="1:16" x14ac:dyDescent="0.25">
      <c r="A235" t="s">
        <v>522</v>
      </c>
      <c r="B235" t="s">
        <v>93</v>
      </c>
      <c r="C235" t="s">
        <v>45</v>
      </c>
      <c r="D235" t="s">
        <v>15</v>
      </c>
      <c r="E235" t="s">
        <v>523</v>
      </c>
      <c r="F235" s="3" t="s">
        <v>16</v>
      </c>
      <c r="G235" s="3" t="s">
        <v>16</v>
      </c>
      <c r="H235" t="s">
        <v>22</v>
      </c>
      <c r="I235" t="s">
        <v>23</v>
      </c>
      <c r="J235">
        <v>15870000</v>
      </c>
      <c r="K235" t="s">
        <v>102</v>
      </c>
      <c r="L235" t="s">
        <v>15</v>
      </c>
      <c r="M235" s="1">
        <f>Data_Caso_Propuesto[[#This Row],[Precio]]</f>
        <v>15870000</v>
      </c>
      <c r="N235" s="1" t="str">
        <f>IFERROR(Data_Caso_Propuesto[[#This Row],[Precio]]/Data_Caso_Propuesto[[#This Row],[Area Terreno]],"")</f>
        <v/>
      </c>
      <c r="O235" s="1" t="str">
        <f>IFERROR((Data_Caso_Propuesto[[#This Row],[Precio]]/Data_Caso_Propuesto[[#This Row],[Area Terreno]])/1000000,"")</f>
        <v/>
      </c>
      <c r="P235" s="1"/>
    </row>
    <row r="236" spans="1:16" x14ac:dyDescent="0.25">
      <c r="A236" t="s">
        <v>524</v>
      </c>
      <c r="B236" t="s">
        <v>93</v>
      </c>
      <c r="C236" t="s">
        <v>45</v>
      </c>
      <c r="D236" t="s">
        <v>15</v>
      </c>
      <c r="E236" t="s">
        <v>525</v>
      </c>
      <c r="F236" s="3" t="s">
        <v>16</v>
      </c>
      <c r="G236" s="3" t="s">
        <v>16</v>
      </c>
      <c r="H236" t="s">
        <v>22</v>
      </c>
      <c r="I236" t="s">
        <v>23</v>
      </c>
      <c r="J236">
        <v>15870000</v>
      </c>
      <c r="K236" t="s">
        <v>102</v>
      </c>
      <c r="L236" t="s">
        <v>15</v>
      </c>
      <c r="M236" s="1">
        <f>Data_Caso_Propuesto[[#This Row],[Precio]]</f>
        <v>15870000</v>
      </c>
      <c r="N236" s="1" t="str">
        <f>IFERROR(Data_Caso_Propuesto[[#This Row],[Precio]]/Data_Caso_Propuesto[[#This Row],[Area Terreno]],"")</f>
        <v/>
      </c>
      <c r="O236" s="1" t="str">
        <f>IFERROR((Data_Caso_Propuesto[[#This Row],[Precio]]/Data_Caso_Propuesto[[#This Row],[Area Terreno]])/1000000,"")</f>
        <v/>
      </c>
      <c r="P236" s="1"/>
    </row>
    <row r="237" spans="1:16" x14ac:dyDescent="0.25">
      <c r="A237" t="s">
        <v>526</v>
      </c>
      <c r="B237" t="s">
        <v>93</v>
      </c>
      <c r="C237" t="s">
        <v>45</v>
      </c>
      <c r="D237" t="s">
        <v>15</v>
      </c>
      <c r="E237" t="s">
        <v>527</v>
      </c>
      <c r="F237" s="3" t="s">
        <v>16</v>
      </c>
      <c r="G237" s="3" t="s">
        <v>16</v>
      </c>
      <c r="H237" t="s">
        <v>22</v>
      </c>
      <c r="I237" t="s">
        <v>23</v>
      </c>
      <c r="J237">
        <v>15732000</v>
      </c>
      <c r="K237" t="s">
        <v>102</v>
      </c>
      <c r="L237" t="s">
        <v>15</v>
      </c>
      <c r="M237" s="1">
        <f>Data_Caso_Propuesto[[#This Row],[Precio]]</f>
        <v>15732000</v>
      </c>
      <c r="N237" s="1" t="str">
        <f>IFERROR(Data_Caso_Propuesto[[#This Row],[Precio]]/Data_Caso_Propuesto[[#This Row],[Area Terreno]],"")</f>
        <v/>
      </c>
      <c r="O237" s="1" t="str">
        <f>IFERROR((Data_Caso_Propuesto[[#This Row],[Precio]]/Data_Caso_Propuesto[[#This Row],[Area Terreno]])/1000000,"")</f>
        <v/>
      </c>
      <c r="P237" s="1"/>
    </row>
    <row r="238" spans="1:16" x14ac:dyDescent="0.25">
      <c r="A238" t="s">
        <v>528</v>
      </c>
      <c r="B238" t="s">
        <v>93</v>
      </c>
      <c r="C238" t="s">
        <v>45</v>
      </c>
      <c r="D238" t="s">
        <v>15</v>
      </c>
      <c r="E238" t="s">
        <v>529</v>
      </c>
      <c r="F238" s="3" t="s">
        <v>16</v>
      </c>
      <c r="G238" s="3" t="s">
        <v>16</v>
      </c>
      <c r="H238" t="s">
        <v>22</v>
      </c>
      <c r="I238" t="s">
        <v>23</v>
      </c>
      <c r="J238">
        <v>15709000</v>
      </c>
      <c r="K238" t="s">
        <v>102</v>
      </c>
      <c r="L238" t="s">
        <v>15</v>
      </c>
      <c r="M238" s="1">
        <f>Data_Caso_Propuesto[[#This Row],[Precio]]</f>
        <v>15709000</v>
      </c>
      <c r="N238" s="1" t="str">
        <f>IFERROR(Data_Caso_Propuesto[[#This Row],[Precio]]/Data_Caso_Propuesto[[#This Row],[Area Terreno]],"")</f>
        <v/>
      </c>
      <c r="O238" s="1" t="str">
        <f>IFERROR((Data_Caso_Propuesto[[#This Row],[Precio]]/Data_Caso_Propuesto[[#This Row],[Area Terreno]])/1000000,"")</f>
        <v/>
      </c>
      <c r="P238" s="1"/>
    </row>
    <row r="239" spans="1:16" x14ac:dyDescent="0.25">
      <c r="A239" t="s">
        <v>530</v>
      </c>
      <c r="B239" t="s">
        <v>93</v>
      </c>
      <c r="C239" t="s">
        <v>45</v>
      </c>
      <c r="D239" t="s">
        <v>15</v>
      </c>
      <c r="E239" t="s">
        <v>531</v>
      </c>
      <c r="F239" s="3" t="s">
        <v>16</v>
      </c>
      <c r="G239" s="3" t="s">
        <v>16</v>
      </c>
      <c r="H239" t="s">
        <v>22</v>
      </c>
      <c r="I239" t="s">
        <v>23</v>
      </c>
      <c r="J239">
        <v>15680000</v>
      </c>
      <c r="K239" t="s">
        <v>102</v>
      </c>
      <c r="L239" t="s">
        <v>15</v>
      </c>
      <c r="M239" s="1">
        <f>Data_Caso_Propuesto[[#This Row],[Precio]]</f>
        <v>15680000</v>
      </c>
      <c r="N239" s="1" t="str">
        <f>IFERROR(Data_Caso_Propuesto[[#This Row],[Precio]]/Data_Caso_Propuesto[[#This Row],[Area Terreno]],"")</f>
        <v/>
      </c>
      <c r="O239" s="1" t="str">
        <f>IFERROR((Data_Caso_Propuesto[[#This Row],[Precio]]/Data_Caso_Propuesto[[#This Row],[Area Terreno]])/1000000,"")</f>
        <v/>
      </c>
      <c r="P239" s="1"/>
    </row>
    <row r="240" spans="1:16" x14ac:dyDescent="0.25">
      <c r="A240" t="s">
        <v>532</v>
      </c>
      <c r="B240" t="s">
        <v>234</v>
      </c>
      <c r="C240" t="s">
        <v>235</v>
      </c>
      <c r="D240" t="s">
        <v>533</v>
      </c>
      <c r="E240" t="s">
        <v>534</v>
      </c>
      <c r="F240" s="3" t="s">
        <v>16</v>
      </c>
      <c r="G240" s="3" t="s">
        <v>16</v>
      </c>
      <c r="H240" t="s">
        <v>17</v>
      </c>
      <c r="I240" t="s">
        <v>176</v>
      </c>
      <c r="J240">
        <v>15348020</v>
      </c>
      <c r="K240" t="s">
        <v>46</v>
      </c>
      <c r="L240" t="s">
        <v>535</v>
      </c>
      <c r="M240" s="1">
        <f>Data_Caso_Propuesto[[#This Row],[Precio]]</f>
        <v>15348020</v>
      </c>
      <c r="N240" s="1" t="str">
        <f>IFERROR(Data_Caso_Propuesto[[#This Row],[Precio]]/Data_Caso_Propuesto[[#This Row],[Area Terreno]],"")</f>
        <v/>
      </c>
      <c r="O240" s="1" t="str">
        <f>IFERROR((Data_Caso_Propuesto[[#This Row],[Precio]]/Data_Caso_Propuesto[[#This Row],[Area Terreno]])/1000000,"")</f>
        <v/>
      </c>
      <c r="P240" s="1"/>
    </row>
    <row r="241" spans="1:16" x14ac:dyDescent="0.25">
      <c r="A241" t="s">
        <v>536</v>
      </c>
      <c r="B241" t="s">
        <v>93</v>
      </c>
      <c r="C241" t="s">
        <v>45</v>
      </c>
      <c r="D241" t="s">
        <v>15</v>
      </c>
      <c r="E241" t="s">
        <v>537</v>
      </c>
      <c r="F241" s="3" t="s">
        <v>16</v>
      </c>
      <c r="G241" s="3" t="s">
        <v>16</v>
      </c>
      <c r="H241" t="s">
        <v>22</v>
      </c>
      <c r="I241" t="s">
        <v>23</v>
      </c>
      <c r="J241">
        <v>15043000</v>
      </c>
      <c r="K241" t="s">
        <v>102</v>
      </c>
      <c r="L241" t="s">
        <v>15</v>
      </c>
      <c r="M241" s="1">
        <f>Data_Caso_Propuesto[[#This Row],[Precio]]</f>
        <v>15043000</v>
      </c>
      <c r="N241" s="1" t="str">
        <f>IFERROR(Data_Caso_Propuesto[[#This Row],[Precio]]/Data_Caso_Propuesto[[#This Row],[Area Terreno]],"")</f>
        <v/>
      </c>
      <c r="O241" s="1" t="str">
        <f>IFERROR((Data_Caso_Propuesto[[#This Row],[Precio]]/Data_Caso_Propuesto[[#This Row],[Area Terreno]])/1000000,"")</f>
        <v/>
      </c>
      <c r="P241" s="1"/>
    </row>
    <row r="242" spans="1:16" x14ac:dyDescent="0.25">
      <c r="A242" t="s">
        <v>538</v>
      </c>
      <c r="B242" t="s">
        <v>93</v>
      </c>
      <c r="C242" t="s">
        <v>45</v>
      </c>
      <c r="D242" t="s">
        <v>15</v>
      </c>
      <c r="E242" t="s">
        <v>539</v>
      </c>
      <c r="F242" s="3" t="s">
        <v>16</v>
      </c>
      <c r="G242" s="3" t="s">
        <v>16</v>
      </c>
      <c r="H242" t="s">
        <v>22</v>
      </c>
      <c r="I242" t="s">
        <v>23</v>
      </c>
      <c r="J242">
        <v>14904000</v>
      </c>
      <c r="K242" t="s">
        <v>102</v>
      </c>
      <c r="L242" t="s">
        <v>15</v>
      </c>
      <c r="M242" s="1">
        <f>Data_Caso_Propuesto[[#This Row],[Precio]]</f>
        <v>14904000</v>
      </c>
      <c r="N242" s="1" t="str">
        <f>IFERROR(Data_Caso_Propuesto[[#This Row],[Precio]]/Data_Caso_Propuesto[[#This Row],[Area Terreno]],"")</f>
        <v/>
      </c>
      <c r="O242" s="1" t="str">
        <f>IFERROR((Data_Caso_Propuesto[[#This Row],[Precio]]/Data_Caso_Propuesto[[#This Row],[Area Terreno]])/1000000,"")</f>
        <v/>
      </c>
      <c r="P242" s="1"/>
    </row>
    <row r="243" spans="1:16" x14ac:dyDescent="0.25">
      <c r="A243" t="s">
        <v>540</v>
      </c>
      <c r="B243" t="s">
        <v>70</v>
      </c>
      <c r="C243" t="s">
        <v>71</v>
      </c>
      <c r="D243" t="s">
        <v>149</v>
      </c>
      <c r="E243" t="s">
        <v>1095</v>
      </c>
      <c r="F243" s="3" t="s">
        <v>16</v>
      </c>
      <c r="G243" s="3" t="s">
        <v>16</v>
      </c>
      <c r="H243" t="s">
        <v>77</v>
      </c>
      <c r="I243" t="s">
        <v>31</v>
      </c>
      <c r="J243">
        <v>1448807283</v>
      </c>
      <c r="K243" t="s">
        <v>68</v>
      </c>
      <c r="L243" t="s">
        <v>15</v>
      </c>
      <c r="M243" s="1">
        <f>Data_Caso_Propuesto[[#This Row],[Precio]]</f>
        <v>1448807283</v>
      </c>
      <c r="N243" s="1" t="str">
        <f>IFERROR(Data_Caso_Propuesto[[#This Row],[Precio]]/Data_Caso_Propuesto[[#This Row],[Area Terreno]],"")</f>
        <v/>
      </c>
      <c r="O243" s="1" t="str">
        <f>IFERROR((Data_Caso_Propuesto[[#This Row],[Precio]]/Data_Caso_Propuesto[[#This Row],[Area Terreno]])/1000000,"")</f>
        <v/>
      </c>
      <c r="P243" s="1"/>
    </row>
    <row r="244" spans="1:16" x14ac:dyDescent="0.25">
      <c r="A244" t="s">
        <v>541</v>
      </c>
      <c r="B244" t="s">
        <v>93</v>
      </c>
      <c r="C244" t="s">
        <v>45</v>
      </c>
      <c r="D244" t="s">
        <v>15</v>
      </c>
      <c r="E244" t="s">
        <v>542</v>
      </c>
      <c r="F244" s="3" t="s">
        <v>16</v>
      </c>
      <c r="G244" s="3" t="s">
        <v>16</v>
      </c>
      <c r="H244" t="s">
        <v>22</v>
      </c>
      <c r="I244" t="s">
        <v>23</v>
      </c>
      <c r="J244">
        <v>14357000</v>
      </c>
      <c r="K244" t="s">
        <v>102</v>
      </c>
      <c r="L244" t="s">
        <v>15</v>
      </c>
      <c r="M244" s="1">
        <f>Data_Caso_Propuesto[[#This Row],[Precio]]</f>
        <v>14357000</v>
      </c>
      <c r="N244" s="1" t="str">
        <f>IFERROR(Data_Caso_Propuesto[[#This Row],[Precio]]/Data_Caso_Propuesto[[#This Row],[Area Terreno]],"")</f>
        <v/>
      </c>
      <c r="O244" s="1" t="str">
        <f>IFERROR((Data_Caso_Propuesto[[#This Row],[Precio]]/Data_Caso_Propuesto[[#This Row],[Area Terreno]])/1000000,"")</f>
        <v/>
      </c>
      <c r="P244" s="1"/>
    </row>
    <row r="245" spans="1:16" x14ac:dyDescent="0.25">
      <c r="A245" t="s">
        <v>543</v>
      </c>
      <c r="B245" t="s">
        <v>93</v>
      </c>
      <c r="C245" t="s">
        <v>45</v>
      </c>
      <c r="D245" t="s">
        <v>15</v>
      </c>
      <c r="E245" t="s">
        <v>544</v>
      </c>
      <c r="F245" s="3" t="s">
        <v>16</v>
      </c>
      <c r="G245" s="3" t="s">
        <v>16</v>
      </c>
      <c r="H245" t="s">
        <v>77</v>
      </c>
      <c r="I245" t="s">
        <v>23</v>
      </c>
      <c r="J245">
        <v>14099000</v>
      </c>
      <c r="K245" t="s">
        <v>102</v>
      </c>
      <c r="L245" t="s">
        <v>15</v>
      </c>
      <c r="M245" s="1">
        <f>Data_Caso_Propuesto[[#This Row],[Precio]]</f>
        <v>14099000</v>
      </c>
      <c r="N245" s="1" t="str">
        <f>IFERROR(Data_Caso_Propuesto[[#This Row],[Precio]]/Data_Caso_Propuesto[[#This Row],[Area Terreno]],"")</f>
        <v/>
      </c>
      <c r="O245" s="1" t="str">
        <f>IFERROR((Data_Caso_Propuesto[[#This Row],[Precio]]/Data_Caso_Propuesto[[#This Row],[Area Terreno]])/1000000,"")</f>
        <v/>
      </c>
      <c r="P245" s="1"/>
    </row>
    <row r="246" spans="1:16" x14ac:dyDescent="0.25">
      <c r="A246" t="s">
        <v>545</v>
      </c>
      <c r="B246" t="s">
        <v>93</v>
      </c>
      <c r="C246" t="s">
        <v>45</v>
      </c>
      <c r="D246" t="s">
        <v>15</v>
      </c>
      <c r="E246" t="s">
        <v>546</v>
      </c>
      <c r="F246" s="3" t="s">
        <v>16</v>
      </c>
      <c r="G246" s="3" t="s">
        <v>16</v>
      </c>
      <c r="H246" t="s">
        <v>22</v>
      </c>
      <c r="I246" t="s">
        <v>23</v>
      </c>
      <c r="J246">
        <v>13989500</v>
      </c>
      <c r="K246" t="s">
        <v>102</v>
      </c>
      <c r="L246" t="s">
        <v>15</v>
      </c>
      <c r="M246" s="1">
        <f>Data_Caso_Propuesto[[#This Row],[Precio]]</f>
        <v>13989500</v>
      </c>
      <c r="N246" s="1" t="str">
        <f>IFERROR(Data_Caso_Propuesto[[#This Row],[Precio]]/Data_Caso_Propuesto[[#This Row],[Area Terreno]],"")</f>
        <v/>
      </c>
      <c r="O246" s="1" t="str">
        <f>IFERROR((Data_Caso_Propuesto[[#This Row],[Precio]]/Data_Caso_Propuesto[[#This Row],[Area Terreno]])/1000000,"")</f>
        <v/>
      </c>
      <c r="P246" s="1"/>
    </row>
    <row r="247" spans="1:16" x14ac:dyDescent="0.25">
      <c r="A247" t="s">
        <v>547</v>
      </c>
      <c r="B247" t="s">
        <v>93</v>
      </c>
      <c r="C247" t="s">
        <v>45</v>
      </c>
      <c r="D247" t="s">
        <v>15</v>
      </c>
      <c r="E247" t="s">
        <v>548</v>
      </c>
      <c r="F247" s="3" t="s">
        <v>16</v>
      </c>
      <c r="G247" s="3" t="s">
        <v>16</v>
      </c>
      <c r="H247" t="s">
        <v>22</v>
      </c>
      <c r="I247" t="s">
        <v>23</v>
      </c>
      <c r="J247">
        <v>13846000</v>
      </c>
      <c r="K247" t="s">
        <v>102</v>
      </c>
      <c r="L247" t="s">
        <v>15</v>
      </c>
      <c r="M247" s="1">
        <f>Data_Caso_Propuesto[[#This Row],[Precio]]</f>
        <v>13846000</v>
      </c>
      <c r="N247" s="1" t="str">
        <f>IFERROR(Data_Caso_Propuesto[[#This Row],[Precio]]/Data_Caso_Propuesto[[#This Row],[Area Terreno]],"")</f>
        <v/>
      </c>
      <c r="O247" s="1" t="str">
        <f>IFERROR((Data_Caso_Propuesto[[#This Row],[Precio]]/Data_Caso_Propuesto[[#This Row],[Area Terreno]])/1000000,"")</f>
        <v/>
      </c>
      <c r="P247" s="1"/>
    </row>
    <row r="248" spans="1:16" x14ac:dyDescent="0.25">
      <c r="A248" t="s">
        <v>549</v>
      </c>
      <c r="B248" t="s">
        <v>93</v>
      </c>
      <c r="C248" t="s">
        <v>45</v>
      </c>
      <c r="D248" t="s">
        <v>15</v>
      </c>
      <c r="E248" t="s">
        <v>550</v>
      </c>
      <c r="F248" s="3" t="s">
        <v>16</v>
      </c>
      <c r="G248" s="3" t="s">
        <v>16</v>
      </c>
      <c r="H248" t="s">
        <v>22</v>
      </c>
      <c r="I248" t="s">
        <v>23</v>
      </c>
      <c r="J248">
        <v>13455000</v>
      </c>
      <c r="K248" t="s">
        <v>102</v>
      </c>
      <c r="L248" t="s">
        <v>15</v>
      </c>
      <c r="M248" s="1">
        <f>Data_Caso_Propuesto[[#This Row],[Precio]]</f>
        <v>13455000</v>
      </c>
      <c r="N248" s="1" t="str">
        <f>IFERROR(Data_Caso_Propuesto[[#This Row],[Precio]]/Data_Caso_Propuesto[[#This Row],[Area Terreno]],"")</f>
        <v/>
      </c>
      <c r="O248" s="1" t="str">
        <f>IFERROR((Data_Caso_Propuesto[[#This Row],[Precio]]/Data_Caso_Propuesto[[#This Row],[Area Terreno]])/1000000,"")</f>
        <v/>
      </c>
      <c r="P248" s="1"/>
    </row>
    <row r="249" spans="1:16" x14ac:dyDescent="0.25">
      <c r="A249" t="s">
        <v>551</v>
      </c>
      <c r="B249" t="s">
        <v>93</v>
      </c>
      <c r="C249" t="s">
        <v>45</v>
      </c>
      <c r="D249" t="s">
        <v>15</v>
      </c>
      <c r="E249" t="s">
        <v>552</v>
      </c>
      <c r="F249" s="3" t="s">
        <v>16</v>
      </c>
      <c r="G249" s="3" t="s">
        <v>16</v>
      </c>
      <c r="H249" t="s">
        <v>22</v>
      </c>
      <c r="I249" t="s">
        <v>23</v>
      </c>
      <c r="J249">
        <v>13455000</v>
      </c>
      <c r="K249" t="s">
        <v>102</v>
      </c>
      <c r="L249" t="s">
        <v>15</v>
      </c>
      <c r="M249" s="1">
        <f>Data_Caso_Propuesto[[#This Row],[Precio]]</f>
        <v>13455000</v>
      </c>
      <c r="N249" s="1" t="str">
        <f>IFERROR(Data_Caso_Propuesto[[#This Row],[Precio]]/Data_Caso_Propuesto[[#This Row],[Area Terreno]],"")</f>
        <v/>
      </c>
      <c r="O249" s="1" t="str">
        <f>IFERROR((Data_Caso_Propuesto[[#This Row],[Precio]]/Data_Caso_Propuesto[[#This Row],[Area Terreno]])/1000000,"")</f>
        <v/>
      </c>
      <c r="P249" s="1"/>
    </row>
    <row r="250" spans="1:16" x14ac:dyDescent="0.25">
      <c r="A250" t="s">
        <v>553</v>
      </c>
      <c r="B250" t="s">
        <v>93</v>
      </c>
      <c r="C250" t="s">
        <v>45</v>
      </c>
      <c r="D250" t="s">
        <v>15</v>
      </c>
      <c r="E250" t="s">
        <v>554</v>
      </c>
      <c r="F250" s="3" t="s">
        <v>16</v>
      </c>
      <c r="G250" s="3" t="s">
        <v>16</v>
      </c>
      <c r="H250" t="s">
        <v>22</v>
      </c>
      <c r="I250" t="s">
        <v>23</v>
      </c>
      <c r="J250">
        <v>13440000</v>
      </c>
      <c r="K250" t="s">
        <v>102</v>
      </c>
      <c r="L250" t="s">
        <v>15</v>
      </c>
      <c r="M250" s="1">
        <f>Data_Caso_Propuesto[[#This Row],[Precio]]</f>
        <v>13440000</v>
      </c>
      <c r="N250" s="1" t="str">
        <f>IFERROR(Data_Caso_Propuesto[[#This Row],[Precio]]/Data_Caso_Propuesto[[#This Row],[Area Terreno]],"")</f>
        <v/>
      </c>
      <c r="O250" s="1" t="str">
        <f>IFERROR((Data_Caso_Propuesto[[#This Row],[Precio]]/Data_Caso_Propuesto[[#This Row],[Area Terreno]])/1000000,"")</f>
        <v/>
      </c>
      <c r="P250" s="1"/>
    </row>
    <row r="251" spans="1:16" x14ac:dyDescent="0.25">
      <c r="A251" t="s">
        <v>555</v>
      </c>
      <c r="B251" t="s">
        <v>93</v>
      </c>
      <c r="C251" t="s">
        <v>45</v>
      </c>
      <c r="D251" t="s">
        <v>15</v>
      </c>
      <c r="E251" t="s">
        <v>556</v>
      </c>
      <c r="F251" s="3" t="s">
        <v>16</v>
      </c>
      <c r="G251" s="3" t="s">
        <v>16</v>
      </c>
      <c r="H251" t="s">
        <v>22</v>
      </c>
      <c r="I251" t="s">
        <v>23</v>
      </c>
      <c r="J251">
        <v>13386000</v>
      </c>
      <c r="K251" t="s">
        <v>102</v>
      </c>
      <c r="L251" t="s">
        <v>15</v>
      </c>
      <c r="M251" s="1">
        <f>Data_Caso_Propuesto[[#This Row],[Precio]]</f>
        <v>13386000</v>
      </c>
      <c r="N251" s="1" t="str">
        <f>IFERROR(Data_Caso_Propuesto[[#This Row],[Precio]]/Data_Caso_Propuesto[[#This Row],[Area Terreno]],"")</f>
        <v/>
      </c>
      <c r="O251" s="1" t="str">
        <f>IFERROR((Data_Caso_Propuesto[[#This Row],[Precio]]/Data_Caso_Propuesto[[#This Row],[Area Terreno]])/1000000,"")</f>
        <v/>
      </c>
      <c r="P251" s="1"/>
    </row>
    <row r="252" spans="1:16" x14ac:dyDescent="0.25">
      <c r="A252" t="s">
        <v>557</v>
      </c>
      <c r="B252" t="s">
        <v>93</v>
      </c>
      <c r="C252" t="s">
        <v>45</v>
      </c>
      <c r="D252" t="s">
        <v>15</v>
      </c>
      <c r="E252" t="s">
        <v>558</v>
      </c>
      <c r="F252" s="3" t="s">
        <v>16</v>
      </c>
      <c r="G252" s="3" t="s">
        <v>16</v>
      </c>
      <c r="H252" t="s">
        <v>22</v>
      </c>
      <c r="I252" t="s">
        <v>23</v>
      </c>
      <c r="J252">
        <v>13386000</v>
      </c>
      <c r="K252" t="s">
        <v>102</v>
      </c>
      <c r="L252" t="s">
        <v>15</v>
      </c>
      <c r="M252" s="1">
        <f>Data_Caso_Propuesto[[#This Row],[Precio]]</f>
        <v>13386000</v>
      </c>
      <c r="N252" s="1" t="str">
        <f>IFERROR(Data_Caso_Propuesto[[#This Row],[Precio]]/Data_Caso_Propuesto[[#This Row],[Area Terreno]],"")</f>
        <v/>
      </c>
      <c r="O252" s="1" t="str">
        <f>IFERROR((Data_Caso_Propuesto[[#This Row],[Precio]]/Data_Caso_Propuesto[[#This Row],[Area Terreno]])/1000000,"")</f>
        <v/>
      </c>
      <c r="P252" s="1"/>
    </row>
    <row r="253" spans="1:16" x14ac:dyDescent="0.25">
      <c r="A253" t="s">
        <v>559</v>
      </c>
      <c r="B253" t="s">
        <v>93</v>
      </c>
      <c r="C253" t="s">
        <v>45</v>
      </c>
      <c r="D253" t="s">
        <v>15</v>
      </c>
      <c r="E253" t="s">
        <v>560</v>
      </c>
      <c r="F253" s="3" t="s">
        <v>16</v>
      </c>
      <c r="G253" s="3" t="s">
        <v>16</v>
      </c>
      <c r="H253" t="s">
        <v>22</v>
      </c>
      <c r="I253" t="s">
        <v>23</v>
      </c>
      <c r="J253">
        <v>13386000</v>
      </c>
      <c r="K253" t="s">
        <v>102</v>
      </c>
      <c r="L253" t="s">
        <v>15</v>
      </c>
      <c r="M253" s="1">
        <f>Data_Caso_Propuesto[[#This Row],[Precio]]</f>
        <v>13386000</v>
      </c>
      <c r="N253" s="1" t="str">
        <f>IFERROR(Data_Caso_Propuesto[[#This Row],[Precio]]/Data_Caso_Propuesto[[#This Row],[Area Terreno]],"")</f>
        <v/>
      </c>
      <c r="O253" s="1" t="str">
        <f>IFERROR((Data_Caso_Propuesto[[#This Row],[Precio]]/Data_Caso_Propuesto[[#This Row],[Area Terreno]])/1000000,"")</f>
        <v/>
      </c>
      <c r="P253" s="1"/>
    </row>
    <row r="254" spans="1:16" x14ac:dyDescent="0.25">
      <c r="A254" t="s">
        <v>561</v>
      </c>
      <c r="B254" t="s">
        <v>93</v>
      </c>
      <c r="C254" t="s">
        <v>45</v>
      </c>
      <c r="D254" t="s">
        <v>15</v>
      </c>
      <c r="E254" t="s">
        <v>562</v>
      </c>
      <c r="F254" s="3" t="s">
        <v>16</v>
      </c>
      <c r="G254" s="3" t="s">
        <v>16</v>
      </c>
      <c r="H254" t="s">
        <v>77</v>
      </c>
      <c r="I254" t="s">
        <v>23</v>
      </c>
      <c r="J254">
        <v>13386000</v>
      </c>
      <c r="K254" t="s">
        <v>102</v>
      </c>
      <c r="L254" t="s">
        <v>15</v>
      </c>
      <c r="M254" s="1">
        <f>Data_Caso_Propuesto[[#This Row],[Precio]]</f>
        <v>13386000</v>
      </c>
      <c r="N254" s="1" t="str">
        <f>IFERROR(Data_Caso_Propuesto[[#This Row],[Precio]]/Data_Caso_Propuesto[[#This Row],[Area Terreno]],"")</f>
        <v/>
      </c>
      <c r="O254" s="1" t="str">
        <f>IFERROR((Data_Caso_Propuesto[[#This Row],[Precio]]/Data_Caso_Propuesto[[#This Row],[Area Terreno]])/1000000,"")</f>
        <v/>
      </c>
      <c r="P254" s="1"/>
    </row>
    <row r="255" spans="1:16" x14ac:dyDescent="0.25">
      <c r="A255" t="s">
        <v>563</v>
      </c>
      <c r="B255" t="s">
        <v>93</v>
      </c>
      <c r="C255" t="s">
        <v>45</v>
      </c>
      <c r="D255" t="s">
        <v>15</v>
      </c>
      <c r="E255" t="s">
        <v>564</v>
      </c>
      <c r="F255" s="3" t="s">
        <v>16</v>
      </c>
      <c r="G255" s="3" t="s">
        <v>16</v>
      </c>
      <c r="H255" t="s">
        <v>77</v>
      </c>
      <c r="I255" t="s">
        <v>23</v>
      </c>
      <c r="J255">
        <v>13386000</v>
      </c>
      <c r="K255" t="s">
        <v>102</v>
      </c>
      <c r="L255" t="s">
        <v>15</v>
      </c>
      <c r="M255" s="1">
        <f>Data_Caso_Propuesto[[#This Row],[Precio]]</f>
        <v>13386000</v>
      </c>
      <c r="N255" s="1" t="str">
        <f>IFERROR(Data_Caso_Propuesto[[#This Row],[Precio]]/Data_Caso_Propuesto[[#This Row],[Area Terreno]],"")</f>
        <v/>
      </c>
      <c r="O255" s="1" t="str">
        <f>IFERROR((Data_Caso_Propuesto[[#This Row],[Precio]]/Data_Caso_Propuesto[[#This Row],[Area Terreno]])/1000000,"")</f>
        <v/>
      </c>
      <c r="P255" s="1"/>
    </row>
    <row r="256" spans="1:16" x14ac:dyDescent="0.25">
      <c r="A256" t="s">
        <v>565</v>
      </c>
      <c r="B256" t="s">
        <v>93</v>
      </c>
      <c r="C256" t="s">
        <v>45</v>
      </c>
      <c r="D256" t="s">
        <v>15</v>
      </c>
      <c r="E256" t="s">
        <v>566</v>
      </c>
      <c r="F256" s="3" t="s">
        <v>16</v>
      </c>
      <c r="G256" s="3" t="s">
        <v>16</v>
      </c>
      <c r="H256" t="s">
        <v>77</v>
      </c>
      <c r="I256" t="s">
        <v>23</v>
      </c>
      <c r="J256">
        <v>13386000</v>
      </c>
      <c r="K256" t="s">
        <v>102</v>
      </c>
      <c r="L256" t="s">
        <v>15</v>
      </c>
      <c r="M256" s="1">
        <f>Data_Caso_Propuesto[[#This Row],[Precio]]</f>
        <v>13386000</v>
      </c>
      <c r="N256" s="1" t="str">
        <f>IFERROR(Data_Caso_Propuesto[[#This Row],[Precio]]/Data_Caso_Propuesto[[#This Row],[Area Terreno]],"")</f>
        <v/>
      </c>
      <c r="O256" s="1" t="str">
        <f>IFERROR((Data_Caso_Propuesto[[#This Row],[Precio]]/Data_Caso_Propuesto[[#This Row],[Area Terreno]])/1000000,"")</f>
        <v/>
      </c>
      <c r="P256" s="1"/>
    </row>
    <row r="257" spans="1:16" x14ac:dyDescent="0.25">
      <c r="A257" t="s">
        <v>567</v>
      </c>
      <c r="B257" t="s">
        <v>93</v>
      </c>
      <c r="C257" t="s">
        <v>45</v>
      </c>
      <c r="D257" t="s">
        <v>15</v>
      </c>
      <c r="E257" t="s">
        <v>568</v>
      </c>
      <c r="F257" s="3" t="s">
        <v>16</v>
      </c>
      <c r="G257" s="3" t="s">
        <v>16</v>
      </c>
      <c r="H257" t="s">
        <v>22</v>
      </c>
      <c r="I257" t="s">
        <v>23</v>
      </c>
      <c r="J257">
        <v>13386000</v>
      </c>
      <c r="K257" t="s">
        <v>102</v>
      </c>
      <c r="L257" t="s">
        <v>15</v>
      </c>
      <c r="M257" s="1">
        <f>Data_Caso_Propuesto[[#This Row],[Precio]]</f>
        <v>13386000</v>
      </c>
      <c r="N257" s="1" t="str">
        <f>IFERROR(Data_Caso_Propuesto[[#This Row],[Precio]]/Data_Caso_Propuesto[[#This Row],[Area Terreno]],"")</f>
        <v/>
      </c>
      <c r="O257" s="1" t="str">
        <f>IFERROR((Data_Caso_Propuesto[[#This Row],[Precio]]/Data_Caso_Propuesto[[#This Row],[Area Terreno]])/1000000,"")</f>
        <v/>
      </c>
      <c r="P257" s="1"/>
    </row>
    <row r="258" spans="1:16" x14ac:dyDescent="0.25">
      <c r="A258" t="s">
        <v>569</v>
      </c>
      <c r="B258" t="s">
        <v>93</v>
      </c>
      <c r="C258" t="s">
        <v>45</v>
      </c>
      <c r="D258" t="s">
        <v>15</v>
      </c>
      <c r="E258" t="s">
        <v>570</v>
      </c>
      <c r="F258" s="3" t="s">
        <v>16</v>
      </c>
      <c r="G258" s="3" t="s">
        <v>16</v>
      </c>
      <c r="H258" t="s">
        <v>77</v>
      </c>
      <c r="I258" t="s">
        <v>23</v>
      </c>
      <c r="J258">
        <v>13386000</v>
      </c>
      <c r="K258" t="s">
        <v>102</v>
      </c>
      <c r="L258" t="s">
        <v>15</v>
      </c>
      <c r="M258" s="1">
        <f>Data_Caso_Propuesto[[#This Row],[Precio]]</f>
        <v>13386000</v>
      </c>
      <c r="N258" s="1" t="str">
        <f>IFERROR(Data_Caso_Propuesto[[#This Row],[Precio]]/Data_Caso_Propuesto[[#This Row],[Area Terreno]],"")</f>
        <v/>
      </c>
      <c r="O258" s="1" t="str">
        <f>IFERROR((Data_Caso_Propuesto[[#This Row],[Precio]]/Data_Caso_Propuesto[[#This Row],[Area Terreno]])/1000000,"")</f>
        <v/>
      </c>
      <c r="P258" s="1"/>
    </row>
    <row r="259" spans="1:16" x14ac:dyDescent="0.25">
      <c r="A259" t="s">
        <v>571</v>
      </c>
      <c r="B259" t="s">
        <v>93</v>
      </c>
      <c r="C259" t="s">
        <v>45</v>
      </c>
      <c r="D259" t="s">
        <v>15</v>
      </c>
      <c r="E259" t="s">
        <v>572</v>
      </c>
      <c r="F259" s="3" t="s">
        <v>16</v>
      </c>
      <c r="G259" s="3" t="s">
        <v>16</v>
      </c>
      <c r="H259" t="s">
        <v>22</v>
      </c>
      <c r="I259" t="s">
        <v>23</v>
      </c>
      <c r="J259">
        <v>13107500</v>
      </c>
      <c r="K259" t="s">
        <v>102</v>
      </c>
      <c r="L259" t="s">
        <v>15</v>
      </c>
      <c r="M259" s="1">
        <f>Data_Caso_Propuesto[[#This Row],[Precio]]</f>
        <v>13107500</v>
      </c>
      <c r="N259" s="1" t="str">
        <f>IFERROR(Data_Caso_Propuesto[[#This Row],[Precio]]/Data_Caso_Propuesto[[#This Row],[Area Terreno]],"")</f>
        <v/>
      </c>
      <c r="O259" s="1" t="str">
        <f>IFERROR((Data_Caso_Propuesto[[#This Row],[Precio]]/Data_Caso_Propuesto[[#This Row],[Area Terreno]])/1000000,"")</f>
        <v/>
      </c>
      <c r="P259" s="1"/>
    </row>
    <row r="260" spans="1:16" x14ac:dyDescent="0.25">
      <c r="A260" t="s">
        <v>573</v>
      </c>
      <c r="B260" t="s">
        <v>93</v>
      </c>
      <c r="C260" t="s">
        <v>45</v>
      </c>
      <c r="D260" t="s">
        <v>15</v>
      </c>
      <c r="E260" t="s">
        <v>574</v>
      </c>
      <c r="F260" s="3" t="s">
        <v>16</v>
      </c>
      <c r="G260" s="3" t="s">
        <v>16</v>
      </c>
      <c r="H260" t="s">
        <v>22</v>
      </c>
      <c r="I260" t="s">
        <v>23</v>
      </c>
      <c r="J260">
        <v>13107500</v>
      </c>
      <c r="K260" t="s">
        <v>102</v>
      </c>
      <c r="L260" t="s">
        <v>15</v>
      </c>
      <c r="M260" s="1">
        <f>Data_Caso_Propuesto[[#This Row],[Precio]]</f>
        <v>13107500</v>
      </c>
      <c r="N260" s="1" t="str">
        <f>IFERROR(Data_Caso_Propuesto[[#This Row],[Precio]]/Data_Caso_Propuesto[[#This Row],[Area Terreno]],"")</f>
        <v/>
      </c>
      <c r="O260" s="1" t="str">
        <f>IFERROR((Data_Caso_Propuesto[[#This Row],[Precio]]/Data_Caso_Propuesto[[#This Row],[Area Terreno]])/1000000,"")</f>
        <v/>
      </c>
      <c r="P260" s="1"/>
    </row>
    <row r="261" spans="1:16" x14ac:dyDescent="0.25">
      <c r="A261" t="s">
        <v>575</v>
      </c>
      <c r="B261" t="s">
        <v>93</v>
      </c>
      <c r="C261" t="s">
        <v>45</v>
      </c>
      <c r="D261" t="s">
        <v>15</v>
      </c>
      <c r="E261" t="s">
        <v>576</v>
      </c>
      <c r="F261" s="3" t="s">
        <v>16</v>
      </c>
      <c r="G261" s="3" t="s">
        <v>16</v>
      </c>
      <c r="H261" t="s">
        <v>22</v>
      </c>
      <c r="I261" t="s">
        <v>23</v>
      </c>
      <c r="J261">
        <v>13009500</v>
      </c>
      <c r="K261" t="s">
        <v>102</v>
      </c>
      <c r="L261" t="s">
        <v>15</v>
      </c>
      <c r="M261" s="1">
        <f>Data_Caso_Propuesto[[#This Row],[Precio]]</f>
        <v>13009500</v>
      </c>
      <c r="N261" s="1" t="str">
        <f>IFERROR(Data_Caso_Propuesto[[#This Row],[Precio]]/Data_Caso_Propuesto[[#This Row],[Area Terreno]],"")</f>
        <v/>
      </c>
      <c r="O261" s="1" t="str">
        <f>IFERROR((Data_Caso_Propuesto[[#This Row],[Precio]]/Data_Caso_Propuesto[[#This Row],[Area Terreno]])/1000000,"")</f>
        <v/>
      </c>
      <c r="P261" s="1"/>
    </row>
    <row r="262" spans="1:16" x14ac:dyDescent="0.25">
      <c r="A262" t="s">
        <v>577</v>
      </c>
      <c r="B262" t="s">
        <v>93</v>
      </c>
      <c r="C262" t="s">
        <v>45</v>
      </c>
      <c r="D262" t="s">
        <v>15</v>
      </c>
      <c r="E262" t="s">
        <v>578</v>
      </c>
      <c r="F262" s="3" t="s">
        <v>16</v>
      </c>
      <c r="G262" s="3" t="s">
        <v>16</v>
      </c>
      <c r="H262" t="s">
        <v>22</v>
      </c>
      <c r="I262" t="s">
        <v>23</v>
      </c>
      <c r="J262">
        <v>13009500</v>
      </c>
      <c r="K262" t="s">
        <v>102</v>
      </c>
      <c r="L262" t="s">
        <v>15</v>
      </c>
      <c r="M262" s="1">
        <f>Data_Caso_Propuesto[[#This Row],[Precio]]</f>
        <v>13009500</v>
      </c>
      <c r="N262" s="1" t="str">
        <f>IFERROR(Data_Caso_Propuesto[[#This Row],[Precio]]/Data_Caso_Propuesto[[#This Row],[Area Terreno]],"")</f>
        <v/>
      </c>
      <c r="O262" s="1" t="str">
        <f>IFERROR((Data_Caso_Propuesto[[#This Row],[Precio]]/Data_Caso_Propuesto[[#This Row],[Area Terreno]])/1000000,"")</f>
        <v/>
      </c>
      <c r="P262" s="1"/>
    </row>
    <row r="263" spans="1:16" x14ac:dyDescent="0.25">
      <c r="A263" t="s">
        <v>579</v>
      </c>
      <c r="B263" t="s">
        <v>93</v>
      </c>
      <c r="C263" t="s">
        <v>45</v>
      </c>
      <c r="D263" t="s">
        <v>15</v>
      </c>
      <c r="E263" t="s">
        <v>580</v>
      </c>
      <c r="F263" s="3" t="s">
        <v>16</v>
      </c>
      <c r="G263" s="3" t="s">
        <v>16</v>
      </c>
      <c r="H263" t="s">
        <v>22</v>
      </c>
      <c r="I263" t="s">
        <v>23</v>
      </c>
      <c r="J263">
        <v>12936000</v>
      </c>
      <c r="K263" t="s">
        <v>102</v>
      </c>
      <c r="L263" t="s">
        <v>15</v>
      </c>
      <c r="M263" s="1">
        <f>Data_Caso_Propuesto[[#This Row],[Precio]]</f>
        <v>12936000</v>
      </c>
      <c r="N263" s="1" t="str">
        <f>IFERROR(Data_Caso_Propuesto[[#This Row],[Precio]]/Data_Caso_Propuesto[[#This Row],[Area Terreno]],"")</f>
        <v/>
      </c>
      <c r="O263" s="1" t="str">
        <f>IFERROR((Data_Caso_Propuesto[[#This Row],[Precio]]/Data_Caso_Propuesto[[#This Row],[Area Terreno]])/1000000,"")</f>
        <v/>
      </c>
      <c r="P263" s="1"/>
    </row>
    <row r="264" spans="1:16" x14ac:dyDescent="0.25">
      <c r="A264" t="s">
        <v>581</v>
      </c>
      <c r="B264" t="s">
        <v>93</v>
      </c>
      <c r="C264" t="s">
        <v>45</v>
      </c>
      <c r="D264" t="s">
        <v>15</v>
      </c>
      <c r="E264" t="s">
        <v>582</v>
      </c>
      <c r="F264" s="3" t="s">
        <v>16</v>
      </c>
      <c r="G264" s="3" t="s">
        <v>16</v>
      </c>
      <c r="H264" t="s">
        <v>22</v>
      </c>
      <c r="I264" t="s">
        <v>23</v>
      </c>
      <c r="J264">
        <v>12857000</v>
      </c>
      <c r="K264" t="s">
        <v>102</v>
      </c>
      <c r="L264" t="s">
        <v>15</v>
      </c>
      <c r="M264" s="1">
        <f>Data_Caso_Propuesto[[#This Row],[Precio]]</f>
        <v>12857000</v>
      </c>
      <c r="N264" s="1" t="str">
        <f>IFERROR(Data_Caso_Propuesto[[#This Row],[Precio]]/Data_Caso_Propuesto[[#This Row],[Area Terreno]],"")</f>
        <v/>
      </c>
      <c r="O264" s="1" t="str">
        <f>IFERROR((Data_Caso_Propuesto[[#This Row],[Precio]]/Data_Caso_Propuesto[[#This Row],[Area Terreno]])/1000000,"")</f>
        <v/>
      </c>
      <c r="P264" s="1"/>
    </row>
    <row r="265" spans="1:16" x14ac:dyDescent="0.25">
      <c r="A265" t="s">
        <v>583</v>
      </c>
      <c r="B265" t="s">
        <v>93</v>
      </c>
      <c r="C265" t="s">
        <v>45</v>
      </c>
      <c r="D265" t="s">
        <v>15</v>
      </c>
      <c r="E265" t="s">
        <v>584</v>
      </c>
      <c r="F265" s="3" t="s">
        <v>16</v>
      </c>
      <c r="G265" s="3" t="s">
        <v>16</v>
      </c>
      <c r="H265" t="s">
        <v>22</v>
      </c>
      <c r="I265" t="s">
        <v>23</v>
      </c>
      <c r="J265">
        <v>12857000</v>
      </c>
      <c r="K265" t="s">
        <v>102</v>
      </c>
      <c r="L265" t="s">
        <v>15</v>
      </c>
      <c r="M265" s="1">
        <f>Data_Caso_Propuesto[[#This Row],[Precio]]</f>
        <v>12857000</v>
      </c>
      <c r="N265" s="1" t="str">
        <f>IFERROR(Data_Caso_Propuesto[[#This Row],[Precio]]/Data_Caso_Propuesto[[#This Row],[Area Terreno]],"")</f>
        <v/>
      </c>
      <c r="O265" s="1" t="str">
        <f>IFERROR((Data_Caso_Propuesto[[#This Row],[Precio]]/Data_Caso_Propuesto[[#This Row],[Area Terreno]])/1000000,"")</f>
        <v/>
      </c>
      <c r="P265" s="1"/>
    </row>
    <row r="266" spans="1:16" x14ac:dyDescent="0.25">
      <c r="A266" t="s">
        <v>585</v>
      </c>
      <c r="B266" t="s">
        <v>93</v>
      </c>
      <c r="C266" t="s">
        <v>45</v>
      </c>
      <c r="D266" t="s">
        <v>15</v>
      </c>
      <c r="E266" t="s">
        <v>586</v>
      </c>
      <c r="F266" s="3" t="s">
        <v>16</v>
      </c>
      <c r="G266" s="3" t="s">
        <v>16</v>
      </c>
      <c r="H266" t="s">
        <v>22</v>
      </c>
      <c r="I266" t="s">
        <v>23</v>
      </c>
      <c r="J266">
        <v>12857000</v>
      </c>
      <c r="K266" t="s">
        <v>102</v>
      </c>
      <c r="L266" t="s">
        <v>15</v>
      </c>
      <c r="M266" s="1">
        <f>Data_Caso_Propuesto[[#This Row],[Precio]]</f>
        <v>12857000</v>
      </c>
      <c r="N266" s="1" t="str">
        <f>IFERROR(Data_Caso_Propuesto[[#This Row],[Precio]]/Data_Caso_Propuesto[[#This Row],[Area Terreno]],"")</f>
        <v/>
      </c>
      <c r="O266" s="1" t="str">
        <f>IFERROR((Data_Caso_Propuesto[[#This Row],[Precio]]/Data_Caso_Propuesto[[#This Row],[Area Terreno]])/1000000,"")</f>
        <v/>
      </c>
      <c r="P266" s="1"/>
    </row>
    <row r="267" spans="1:16" x14ac:dyDescent="0.25">
      <c r="A267" t="s">
        <v>587</v>
      </c>
      <c r="B267" t="s">
        <v>93</v>
      </c>
      <c r="C267" t="s">
        <v>45</v>
      </c>
      <c r="D267" t="s">
        <v>15</v>
      </c>
      <c r="E267" t="s">
        <v>588</v>
      </c>
      <c r="F267" s="3" t="s">
        <v>16</v>
      </c>
      <c r="G267" s="3" t="s">
        <v>16</v>
      </c>
      <c r="H267" t="s">
        <v>22</v>
      </c>
      <c r="I267" t="s">
        <v>23</v>
      </c>
      <c r="J267">
        <v>12696000</v>
      </c>
      <c r="K267" t="s">
        <v>102</v>
      </c>
      <c r="L267" t="s">
        <v>15</v>
      </c>
      <c r="M267" s="1">
        <f>Data_Caso_Propuesto[[#This Row],[Precio]]</f>
        <v>12696000</v>
      </c>
      <c r="N267" s="1" t="str">
        <f>IFERROR(Data_Caso_Propuesto[[#This Row],[Precio]]/Data_Caso_Propuesto[[#This Row],[Area Terreno]],"")</f>
        <v/>
      </c>
      <c r="O267" s="1" t="str">
        <f>IFERROR((Data_Caso_Propuesto[[#This Row],[Precio]]/Data_Caso_Propuesto[[#This Row],[Area Terreno]])/1000000,"")</f>
        <v/>
      </c>
      <c r="P267" s="1"/>
    </row>
    <row r="268" spans="1:16" x14ac:dyDescent="0.25">
      <c r="A268" t="s">
        <v>589</v>
      </c>
      <c r="B268" t="s">
        <v>93</v>
      </c>
      <c r="C268" t="s">
        <v>45</v>
      </c>
      <c r="D268" t="s">
        <v>15</v>
      </c>
      <c r="E268" t="s">
        <v>590</v>
      </c>
      <c r="F268" s="3" t="s">
        <v>16</v>
      </c>
      <c r="G268" s="3" t="s">
        <v>16</v>
      </c>
      <c r="H268" t="s">
        <v>22</v>
      </c>
      <c r="I268" t="s">
        <v>23</v>
      </c>
      <c r="J268">
        <v>12466000</v>
      </c>
      <c r="K268" t="s">
        <v>102</v>
      </c>
      <c r="L268" t="s">
        <v>15</v>
      </c>
      <c r="M268" s="1">
        <f>Data_Caso_Propuesto[[#This Row],[Precio]]</f>
        <v>12466000</v>
      </c>
      <c r="N268" s="1" t="str">
        <f>IFERROR(Data_Caso_Propuesto[[#This Row],[Precio]]/Data_Caso_Propuesto[[#This Row],[Area Terreno]],"")</f>
        <v/>
      </c>
      <c r="O268" s="1" t="str">
        <f>IFERROR((Data_Caso_Propuesto[[#This Row],[Precio]]/Data_Caso_Propuesto[[#This Row],[Area Terreno]])/1000000,"")</f>
        <v/>
      </c>
      <c r="P268" s="1"/>
    </row>
    <row r="269" spans="1:16" x14ac:dyDescent="0.25">
      <c r="A269" t="s">
        <v>591</v>
      </c>
      <c r="B269" t="s">
        <v>93</v>
      </c>
      <c r="C269" t="s">
        <v>45</v>
      </c>
      <c r="D269" t="s">
        <v>15</v>
      </c>
      <c r="E269" t="s">
        <v>592</v>
      </c>
      <c r="F269" s="3" t="s">
        <v>16</v>
      </c>
      <c r="G269" s="3" t="s">
        <v>16</v>
      </c>
      <c r="H269" t="s">
        <v>22</v>
      </c>
      <c r="I269" t="s">
        <v>23</v>
      </c>
      <c r="J269">
        <v>12416000</v>
      </c>
      <c r="K269" t="s">
        <v>102</v>
      </c>
      <c r="L269" t="s">
        <v>15</v>
      </c>
      <c r="M269" s="1">
        <f>Data_Caso_Propuesto[[#This Row],[Precio]]</f>
        <v>12416000</v>
      </c>
      <c r="N269" s="1" t="str">
        <f>IFERROR(Data_Caso_Propuesto[[#This Row],[Precio]]/Data_Caso_Propuesto[[#This Row],[Area Terreno]],"")</f>
        <v/>
      </c>
      <c r="O269" s="1" t="str">
        <f>IFERROR((Data_Caso_Propuesto[[#This Row],[Precio]]/Data_Caso_Propuesto[[#This Row],[Area Terreno]])/1000000,"")</f>
        <v/>
      </c>
      <c r="P269" s="1"/>
    </row>
    <row r="270" spans="1:16" x14ac:dyDescent="0.25">
      <c r="A270" t="s">
        <v>593</v>
      </c>
      <c r="B270" t="s">
        <v>93</v>
      </c>
      <c r="C270" t="s">
        <v>45</v>
      </c>
      <c r="D270" t="s">
        <v>15</v>
      </c>
      <c r="E270" t="s">
        <v>594</v>
      </c>
      <c r="F270" s="3" t="s">
        <v>16</v>
      </c>
      <c r="G270" s="3" t="s">
        <v>16</v>
      </c>
      <c r="H270" t="s">
        <v>22</v>
      </c>
      <c r="I270" t="s">
        <v>23</v>
      </c>
      <c r="J270">
        <v>12305000</v>
      </c>
      <c r="K270" t="s">
        <v>102</v>
      </c>
      <c r="L270" t="s">
        <v>15</v>
      </c>
      <c r="M270" s="1">
        <f>Data_Caso_Propuesto[[#This Row],[Precio]]</f>
        <v>12305000</v>
      </c>
      <c r="N270" s="1" t="str">
        <f>IFERROR(Data_Caso_Propuesto[[#This Row],[Precio]]/Data_Caso_Propuesto[[#This Row],[Area Terreno]],"")</f>
        <v/>
      </c>
      <c r="O270" s="1" t="str">
        <f>IFERROR((Data_Caso_Propuesto[[#This Row],[Precio]]/Data_Caso_Propuesto[[#This Row],[Area Terreno]])/1000000,"")</f>
        <v/>
      </c>
      <c r="P270" s="1"/>
    </row>
    <row r="271" spans="1:16" x14ac:dyDescent="0.25">
      <c r="A271" t="s">
        <v>595</v>
      </c>
      <c r="B271" t="s">
        <v>93</v>
      </c>
      <c r="C271" t="s">
        <v>45</v>
      </c>
      <c r="D271" t="s">
        <v>15</v>
      </c>
      <c r="E271" t="s">
        <v>596</v>
      </c>
      <c r="F271" s="3" t="s">
        <v>16</v>
      </c>
      <c r="G271" s="3" t="s">
        <v>16</v>
      </c>
      <c r="H271" t="s">
        <v>22</v>
      </c>
      <c r="I271" t="s">
        <v>23</v>
      </c>
      <c r="J271">
        <v>12305000</v>
      </c>
      <c r="K271" t="s">
        <v>102</v>
      </c>
      <c r="L271" t="s">
        <v>15</v>
      </c>
      <c r="M271" s="1">
        <f>Data_Caso_Propuesto[[#This Row],[Precio]]</f>
        <v>12305000</v>
      </c>
      <c r="N271" s="1" t="str">
        <f>IFERROR(Data_Caso_Propuesto[[#This Row],[Precio]]/Data_Caso_Propuesto[[#This Row],[Area Terreno]],"")</f>
        <v/>
      </c>
      <c r="O271" s="1" t="str">
        <f>IFERROR((Data_Caso_Propuesto[[#This Row],[Precio]]/Data_Caso_Propuesto[[#This Row],[Area Terreno]])/1000000,"")</f>
        <v/>
      </c>
      <c r="P271" s="1"/>
    </row>
    <row r="272" spans="1:16" x14ac:dyDescent="0.25">
      <c r="A272" t="s">
        <v>597</v>
      </c>
      <c r="B272" t="s">
        <v>93</v>
      </c>
      <c r="C272" t="s">
        <v>45</v>
      </c>
      <c r="D272" t="s">
        <v>15</v>
      </c>
      <c r="E272" t="s">
        <v>598</v>
      </c>
      <c r="F272" s="3" t="s">
        <v>16</v>
      </c>
      <c r="G272" s="3" t="s">
        <v>16</v>
      </c>
      <c r="H272" t="s">
        <v>22</v>
      </c>
      <c r="I272" t="s">
        <v>23</v>
      </c>
      <c r="J272">
        <v>12305000</v>
      </c>
      <c r="K272" t="s">
        <v>102</v>
      </c>
      <c r="L272" t="s">
        <v>15</v>
      </c>
      <c r="M272" s="1">
        <f>Data_Caso_Propuesto[[#This Row],[Precio]]</f>
        <v>12305000</v>
      </c>
      <c r="N272" s="1" t="str">
        <f>IFERROR(Data_Caso_Propuesto[[#This Row],[Precio]]/Data_Caso_Propuesto[[#This Row],[Area Terreno]],"")</f>
        <v/>
      </c>
      <c r="O272" s="1" t="str">
        <f>IFERROR((Data_Caso_Propuesto[[#This Row],[Precio]]/Data_Caso_Propuesto[[#This Row],[Area Terreno]])/1000000,"")</f>
        <v/>
      </c>
      <c r="P272" s="1"/>
    </row>
    <row r="273" spans="1:16" x14ac:dyDescent="0.25">
      <c r="A273" t="s">
        <v>599</v>
      </c>
      <c r="B273" t="s">
        <v>93</v>
      </c>
      <c r="C273" t="s">
        <v>45</v>
      </c>
      <c r="D273" t="s">
        <v>15</v>
      </c>
      <c r="E273" t="s">
        <v>600</v>
      </c>
      <c r="F273" s="3" t="s">
        <v>16</v>
      </c>
      <c r="G273" s="3" t="s">
        <v>16</v>
      </c>
      <c r="H273" t="s">
        <v>22</v>
      </c>
      <c r="I273" t="s">
        <v>23</v>
      </c>
      <c r="J273">
        <v>12305000</v>
      </c>
      <c r="K273" t="s">
        <v>102</v>
      </c>
      <c r="L273" t="s">
        <v>15</v>
      </c>
      <c r="M273" s="1">
        <f>Data_Caso_Propuesto[[#This Row],[Precio]]</f>
        <v>12305000</v>
      </c>
      <c r="N273" s="1" t="str">
        <f>IFERROR(Data_Caso_Propuesto[[#This Row],[Precio]]/Data_Caso_Propuesto[[#This Row],[Area Terreno]],"")</f>
        <v/>
      </c>
      <c r="O273" s="1" t="str">
        <f>IFERROR((Data_Caso_Propuesto[[#This Row],[Precio]]/Data_Caso_Propuesto[[#This Row],[Area Terreno]])/1000000,"")</f>
        <v/>
      </c>
      <c r="P273" s="1"/>
    </row>
    <row r="274" spans="1:16" x14ac:dyDescent="0.25">
      <c r="A274" t="s">
        <v>601</v>
      </c>
      <c r="B274" t="s">
        <v>93</v>
      </c>
      <c r="C274" t="s">
        <v>45</v>
      </c>
      <c r="D274" t="s">
        <v>15</v>
      </c>
      <c r="E274" t="s">
        <v>602</v>
      </c>
      <c r="F274" s="3" t="s">
        <v>16</v>
      </c>
      <c r="G274" s="3" t="s">
        <v>16</v>
      </c>
      <c r="H274" t="s">
        <v>22</v>
      </c>
      <c r="I274" t="s">
        <v>23</v>
      </c>
      <c r="J274">
        <v>12305000</v>
      </c>
      <c r="K274" t="s">
        <v>102</v>
      </c>
      <c r="L274" t="s">
        <v>15</v>
      </c>
      <c r="M274" s="1">
        <f>Data_Caso_Propuesto[[#This Row],[Precio]]</f>
        <v>12305000</v>
      </c>
      <c r="N274" s="1" t="str">
        <f>IFERROR(Data_Caso_Propuesto[[#This Row],[Precio]]/Data_Caso_Propuesto[[#This Row],[Area Terreno]],"")</f>
        <v/>
      </c>
      <c r="O274" s="1" t="str">
        <f>IFERROR((Data_Caso_Propuesto[[#This Row],[Precio]]/Data_Caso_Propuesto[[#This Row],[Area Terreno]])/1000000,"")</f>
        <v/>
      </c>
      <c r="P274" s="1"/>
    </row>
    <row r="275" spans="1:16" x14ac:dyDescent="0.25">
      <c r="A275" t="s">
        <v>603</v>
      </c>
      <c r="B275" t="s">
        <v>93</v>
      </c>
      <c r="C275" t="s">
        <v>45</v>
      </c>
      <c r="D275" t="s">
        <v>15</v>
      </c>
      <c r="E275" t="s">
        <v>604</v>
      </c>
      <c r="F275" s="3" t="s">
        <v>16</v>
      </c>
      <c r="G275" s="3" t="s">
        <v>16</v>
      </c>
      <c r="H275" t="s">
        <v>22</v>
      </c>
      <c r="I275" t="s">
        <v>23</v>
      </c>
      <c r="J275">
        <v>12305000</v>
      </c>
      <c r="K275" t="s">
        <v>102</v>
      </c>
      <c r="L275" t="s">
        <v>15</v>
      </c>
      <c r="M275" s="1">
        <f>Data_Caso_Propuesto[[#This Row],[Precio]]</f>
        <v>12305000</v>
      </c>
      <c r="N275" s="1" t="str">
        <f>IFERROR(Data_Caso_Propuesto[[#This Row],[Precio]]/Data_Caso_Propuesto[[#This Row],[Area Terreno]],"")</f>
        <v/>
      </c>
      <c r="O275" s="1" t="str">
        <f>IFERROR((Data_Caso_Propuesto[[#This Row],[Precio]]/Data_Caso_Propuesto[[#This Row],[Area Terreno]])/1000000,"")</f>
        <v/>
      </c>
      <c r="P275" s="1"/>
    </row>
    <row r="276" spans="1:16" x14ac:dyDescent="0.25">
      <c r="A276" t="s">
        <v>605</v>
      </c>
      <c r="B276" t="s">
        <v>93</v>
      </c>
      <c r="C276" t="s">
        <v>45</v>
      </c>
      <c r="D276" t="s">
        <v>15</v>
      </c>
      <c r="E276" t="s">
        <v>606</v>
      </c>
      <c r="F276" s="3" t="s">
        <v>16</v>
      </c>
      <c r="G276" s="3" t="s">
        <v>16</v>
      </c>
      <c r="H276" t="s">
        <v>22</v>
      </c>
      <c r="I276" t="s">
        <v>23</v>
      </c>
      <c r="J276">
        <v>12305000</v>
      </c>
      <c r="K276" t="s">
        <v>102</v>
      </c>
      <c r="L276" t="s">
        <v>15</v>
      </c>
      <c r="M276" s="1">
        <f>Data_Caso_Propuesto[[#This Row],[Precio]]</f>
        <v>12305000</v>
      </c>
      <c r="N276" s="1" t="str">
        <f>IFERROR(Data_Caso_Propuesto[[#This Row],[Precio]]/Data_Caso_Propuesto[[#This Row],[Area Terreno]],"")</f>
        <v/>
      </c>
      <c r="O276" s="1" t="str">
        <f>IFERROR((Data_Caso_Propuesto[[#This Row],[Precio]]/Data_Caso_Propuesto[[#This Row],[Area Terreno]])/1000000,"")</f>
        <v/>
      </c>
      <c r="P276" s="1"/>
    </row>
    <row r="277" spans="1:16" x14ac:dyDescent="0.25">
      <c r="A277" t="s">
        <v>607</v>
      </c>
      <c r="B277" t="s">
        <v>93</v>
      </c>
      <c r="C277" t="s">
        <v>45</v>
      </c>
      <c r="D277" t="s">
        <v>15</v>
      </c>
      <c r="E277" t="s">
        <v>608</v>
      </c>
      <c r="F277" s="3" t="s">
        <v>16</v>
      </c>
      <c r="G277" s="3" t="s">
        <v>16</v>
      </c>
      <c r="H277" t="s">
        <v>22</v>
      </c>
      <c r="I277" t="s">
        <v>23</v>
      </c>
      <c r="J277">
        <v>12305000</v>
      </c>
      <c r="K277" t="s">
        <v>102</v>
      </c>
      <c r="L277" t="s">
        <v>15</v>
      </c>
      <c r="M277" s="1">
        <f>Data_Caso_Propuesto[[#This Row],[Precio]]</f>
        <v>12305000</v>
      </c>
      <c r="N277" s="1" t="str">
        <f>IFERROR(Data_Caso_Propuesto[[#This Row],[Precio]]/Data_Caso_Propuesto[[#This Row],[Area Terreno]],"")</f>
        <v/>
      </c>
      <c r="O277" s="1" t="str">
        <f>IFERROR((Data_Caso_Propuesto[[#This Row],[Precio]]/Data_Caso_Propuesto[[#This Row],[Area Terreno]])/1000000,"")</f>
        <v/>
      </c>
      <c r="P277" s="1"/>
    </row>
    <row r="278" spans="1:16" x14ac:dyDescent="0.25">
      <c r="A278" t="s">
        <v>609</v>
      </c>
      <c r="B278" t="s">
        <v>93</v>
      </c>
      <c r="C278" t="s">
        <v>45</v>
      </c>
      <c r="D278" t="s">
        <v>15</v>
      </c>
      <c r="E278" t="s">
        <v>610</v>
      </c>
      <c r="F278" s="3" t="s">
        <v>16</v>
      </c>
      <c r="G278" s="3" t="s">
        <v>16</v>
      </c>
      <c r="H278" t="s">
        <v>22</v>
      </c>
      <c r="I278" t="s">
        <v>23</v>
      </c>
      <c r="J278">
        <v>12305000</v>
      </c>
      <c r="K278" t="s">
        <v>102</v>
      </c>
      <c r="L278" t="s">
        <v>15</v>
      </c>
      <c r="M278" s="1">
        <f>Data_Caso_Propuesto[[#This Row],[Precio]]</f>
        <v>12305000</v>
      </c>
      <c r="N278" s="1" t="str">
        <f>IFERROR(Data_Caso_Propuesto[[#This Row],[Precio]]/Data_Caso_Propuesto[[#This Row],[Area Terreno]],"")</f>
        <v/>
      </c>
      <c r="O278" s="1" t="str">
        <f>IFERROR((Data_Caso_Propuesto[[#This Row],[Precio]]/Data_Caso_Propuesto[[#This Row],[Area Terreno]])/1000000,"")</f>
        <v/>
      </c>
      <c r="P278" s="1"/>
    </row>
    <row r="279" spans="1:16" x14ac:dyDescent="0.25">
      <c r="A279" t="s">
        <v>611</v>
      </c>
      <c r="B279" t="s">
        <v>93</v>
      </c>
      <c r="C279" t="s">
        <v>45</v>
      </c>
      <c r="D279" t="s">
        <v>15</v>
      </c>
      <c r="E279" t="s">
        <v>612</v>
      </c>
      <c r="F279" s="3" t="s">
        <v>16</v>
      </c>
      <c r="G279" s="3" t="s">
        <v>16</v>
      </c>
      <c r="H279" t="s">
        <v>22</v>
      </c>
      <c r="I279" t="s">
        <v>23</v>
      </c>
      <c r="J279">
        <v>12305000</v>
      </c>
      <c r="K279" t="s">
        <v>102</v>
      </c>
      <c r="L279" t="s">
        <v>15</v>
      </c>
      <c r="M279" s="1">
        <f>Data_Caso_Propuesto[[#This Row],[Precio]]</f>
        <v>12305000</v>
      </c>
      <c r="N279" s="1" t="str">
        <f>IFERROR(Data_Caso_Propuesto[[#This Row],[Precio]]/Data_Caso_Propuesto[[#This Row],[Area Terreno]],"")</f>
        <v/>
      </c>
      <c r="O279" s="1" t="str">
        <f>IFERROR((Data_Caso_Propuesto[[#This Row],[Precio]]/Data_Caso_Propuesto[[#This Row],[Area Terreno]])/1000000,"")</f>
        <v/>
      </c>
      <c r="P279" s="1"/>
    </row>
    <row r="280" spans="1:16" x14ac:dyDescent="0.25">
      <c r="A280" t="s">
        <v>613</v>
      </c>
      <c r="B280" t="s">
        <v>93</v>
      </c>
      <c r="C280" t="s">
        <v>45</v>
      </c>
      <c r="D280" t="s">
        <v>15</v>
      </c>
      <c r="E280" t="s">
        <v>614</v>
      </c>
      <c r="F280" s="3" t="s">
        <v>16</v>
      </c>
      <c r="G280" s="3" t="s">
        <v>16</v>
      </c>
      <c r="H280" t="s">
        <v>22</v>
      </c>
      <c r="I280" t="s">
        <v>23</v>
      </c>
      <c r="J280">
        <v>12305000</v>
      </c>
      <c r="K280" t="s">
        <v>102</v>
      </c>
      <c r="L280" t="s">
        <v>15</v>
      </c>
      <c r="M280" s="1">
        <f>Data_Caso_Propuesto[[#This Row],[Precio]]</f>
        <v>12305000</v>
      </c>
      <c r="N280" s="1" t="str">
        <f>IFERROR(Data_Caso_Propuesto[[#This Row],[Precio]]/Data_Caso_Propuesto[[#This Row],[Area Terreno]],"")</f>
        <v/>
      </c>
      <c r="O280" s="1" t="str">
        <f>IFERROR((Data_Caso_Propuesto[[#This Row],[Precio]]/Data_Caso_Propuesto[[#This Row],[Area Terreno]])/1000000,"")</f>
        <v/>
      </c>
      <c r="P280" s="1"/>
    </row>
    <row r="281" spans="1:16" x14ac:dyDescent="0.25">
      <c r="A281" t="s">
        <v>615</v>
      </c>
      <c r="B281" t="s">
        <v>93</v>
      </c>
      <c r="C281" t="s">
        <v>45</v>
      </c>
      <c r="D281" t="s">
        <v>15</v>
      </c>
      <c r="E281" t="s">
        <v>616</v>
      </c>
      <c r="F281" s="3" t="s">
        <v>16</v>
      </c>
      <c r="G281" s="3" t="s">
        <v>16</v>
      </c>
      <c r="H281" t="s">
        <v>22</v>
      </c>
      <c r="I281" t="s">
        <v>23</v>
      </c>
      <c r="J281">
        <v>12305000</v>
      </c>
      <c r="K281" t="s">
        <v>102</v>
      </c>
      <c r="L281" t="s">
        <v>15</v>
      </c>
      <c r="M281" s="1">
        <f>Data_Caso_Propuesto[[#This Row],[Precio]]</f>
        <v>12305000</v>
      </c>
      <c r="N281" s="1" t="str">
        <f>IFERROR(Data_Caso_Propuesto[[#This Row],[Precio]]/Data_Caso_Propuesto[[#This Row],[Area Terreno]],"")</f>
        <v/>
      </c>
      <c r="O281" s="1" t="str">
        <f>IFERROR((Data_Caso_Propuesto[[#This Row],[Precio]]/Data_Caso_Propuesto[[#This Row],[Area Terreno]])/1000000,"")</f>
        <v/>
      </c>
      <c r="P281" s="1"/>
    </row>
    <row r="282" spans="1:16" x14ac:dyDescent="0.25">
      <c r="A282" t="s">
        <v>617</v>
      </c>
      <c r="B282" t="s">
        <v>93</v>
      </c>
      <c r="C282" t="s">
        <v>45</v>
      </c>
      <c r="D282" t="s">
        <v>15</v>
      </c>
      <c r="E282" t="s">
        <v>618</v>
      </c>
      <c r="F282" s="3" t="s">
        <v>16</v>
      </c>
      <c r="G282" s="3" t="s">
        <v>16</v>
      </c>
      <c r="H282" t="s">
        <v>22</v>
      </c>
      <c r="I282" t="s">
        <v>23</v>
      </c>
      <c r="J282">
        <v>12305000</v>
      </c>
      <c r="K282" t="s">
        <v>102</v>
      </c>
      <c r="L282" t="s">
        <v>15</v>
      </c>
      <c r="M282" s="1">
        <f>Data_Caso_Propuesto[[#This Row],[Precio]]</f>
        <v>12305000</v>
      </c>
      <c r="N282" s="1" t="str">
        <f>IFERROR(Data_Caso_Propuesto[[#This Row],[Precio]]/Data_Caso_Propuesto[[#This Row],[Area Terreno]],"")</f>
        <v/>
      </c>
      <c r="O282" s="1" t="str">
        <f>IFERROR((Data_Caso_Propuesto[[#This Row],[Precio]]/Data_Caso_Propuesto[[#This Row],[Area Terreno]])/1000000,"")</f>
        <v/>
      </c>
      <c r="P282" s="1"/>
    </row>
    <row r="283" spans="1:16" x14ac:dyDescent="0.25">
      <c r="A283" t="s">
        <v>619</v>
      </c>
      <c r="B283" t="s">
        <v>93</v>
      </c>
      <c r="C283" t="s">
        <v>45</v>
      </c>
      <c r="D283" t="s">
        <v>15</v>
      </c>
      <c r="E283" t="s">
        <v>620</v>
      </c>
      <c r="F283" s="3" t="s">
        <v>16</v>
      </c>
      <c r="G283" s="3" t="s">
        <v>16</v>
      </c>
      <c r="H283" t="s">
        <v>22</v>
      </c>
      <c r="I283" t="s">
        <v>23</v>
      </c>
      <c r="J283">
        <v>12305000</v>
      </c>
      <c r="K283" t="s">
        <v>102</v>
      </c>
      <c r="L283" t="s">
        <v>15</v>
      </c>
      <c r="M283" s="1">
        <f>Data_Caso_Propuesto[[#This Row],[Precio]]</f>
        <v>12305000</v>
      </c>
      <c r="N283" s="1" t="str">
        <f>IFERROR(Data_Caso_Propuesto[[#This Row],[Precio]]/Data_Caso_Propuesto[[#This Row],[Area Terreno]],"")</f>
        <v/>
      </c>
      <c r="O283" s="1" t="str">
        <f>IFERROR((Data_Caso_Propuesto[[#This Row],[Precio]]/Data_Caso_Propuesto[[#This Row],[Area Terreno]])/1000000,"")</f>
        <v/>
      </c>
      <c r="P283" s="1"/>
    </row>
    <row r="284" spans="1:16" x14ac:dyDescent="0.25">
      <c r="A284" t="s">
        <v>621</v>
      </c>
      <c r="B284" t="s">
        <v>93</v>
      </c>
      <c r="C284" t="s">
        <v>45</v>
      </c>
      <c r="D284" t="s">
        <v>15</v>
      </c>
      <c r="E284" t="s">
        <v>622</v>
      </c>
      <c r="F284" s="3" t="s">
        <v>16</v>
      </c>
      <c r="G284" s="3" t="s">
        <v>16</v>
      </c>
      <c r="H284" t="s">
        <v>22</v>
      </c>
      <c r="I284" t="s">
        <v>23</v>
      </c>
      <c r="J284">
        <v>12305000</v>
      </c>
      <c r="K284" t="s">
        <v>102</v>
      </c>
      <c r="L284" t="s">
        <v>15</v>
      </c>
      <c r="M284" s="1">
        <f>Data_Caso_Propuesto[[#This Row],[Precio]]</f>
        <v>12305000</v>
      </c>
      <c r="N284" s="1" t="str">
        <f>IFERROR(Data_Caso_Propuesto[[#This Row],[Precio]]/Data_Caso_Propuesto[[#This Row],[Area Terreno]],"")</f>
        <v/>
      </c>
      <c r="O284" s="1" t="str">
        <f>IFERROR((Data_Caso_Propuesto[[#This Row],[Precio]]/Data_Caso_Propuesto[[#This Row],[Area Terreno]])/1000000,"")</f>
        <v/>
      </c>
      <c r="P284" s="1"/>
    </row>
    <row r="285" spans="1:16" x14ac:dyDescent="0.25">
      <c r="A285" t="s">
        <v>623</v>
      </c>
      <c r="B285" t="s">
        <v>93</v>
      </c>
      <c r="C285" t="s">
        <v>45</v>
      </c>
      <c r="D285" t="s">
        <v>15</v>
      </c>
      <c r="E285" t="s">
        <v>624</v>
      </c>
      <c r="F285" s="3" t="s">
        <v>16</v>
      </c>
      <c r="G285" s="3" t="s">
        <v>16</v>
      </c>
      <c r="H285" t="s">
        <v>22</v>
      </c>
      <c r="I285" t="s">
        <v>23</v>
      </c>
      <c r="J285">
        <v>12305000</v>
      </c>
      <c r="K285" t="s">
        <v>102</v>
      </c>
      <c r="L285" t="s">
        <v>15</v>
      </c>
      <c r="M285" s="1">
        <f>Data_Caso_Propuesto[[#This Row],[Precio]]</f>
        <v>12305000</v>
      </c>
      <c r="N285" s="1" t="str">
        <f>IFERROR(Data_Caso_Propuesto[[#This Row],[Precio]]/Data_Caso_Propuesto[[#This Row],[Area Terreno]],"")</f>
        <v/>
      </c>
      <c r="O285" s="1" t="str">
        <f>IFERROR((Data_Caso_Propuesto[[#This Row],[Precio]]/Data_Caso_Propuesto[[#This Row],[Area Terreno]])/1000000,"")</f>
        <v/>
      </c>
      <c r="P285" s="1"/>
    </row>
    <row r="286" spans="1:16" x14ac:dyDescent="0.25">
      <c r="A286" t="s">
        <v>625</v>
      </c>
      <c r="B286" t="s">
        <v>93</v>
      </c>
      <c r="C286" t="s">
        <v>45</v>
      </c>
      <c r="D286" t="s">
        <v>15</v>
      </c>
      <c r="E286" t="s">
        <v>626</v>
      </c>
      <c r="F286" s="3" t="s">
        <v>16</v>
      </c>
      <c r="G286" s="3" t="s">
        <v>16</v>
      </c>
      <c r="H286" t="s">
        <v>22</v>
      </c>
      <c r="I286" t="s">
        <v>23</v>
      </c>
      <c r="J286">
        <v>12305000</v>
      </c>
      <c r="K286" t="s">
        <v>102</v>
      </c>
      <c r="L286" t="s">
        <v>15</v>
      </c>
      <c r="M286" s="1">
        <f>Data_Caso_Propuesto[[#This Row],[Precio]]</f>
        <v>12305000</v>
      </c>
      <c r="N286" s="1" t="str">
        <f>IFERROR(Data_Caso_Propuesto[[#This Row],[Precio]]/Data_Caso_Propuesto[[#This Row],[Area Terreno]],"")</f>
        <v/>
      </c>
      <c r="O286" s="1" t="str">
        <f>IFERROR((Data_Caso_Propuesto[[#This Row],[Precio]]/Data_Caso_Propuesto[[#This Row],[Area Terreno]])/1000000,"")</f>
        <v/>
      </c>
      <c r="P286" s="1"/>
    </row>
    <row r="287" spans="1:16" x14ac:dyDescent="0.25">
      <c r="A287" t="s">
        <v>627</v>
      </c>
      <c r="B287" t="s">
        <v>93</v>
      </c>
      <c r="C287" t="s">
        <v>45</v>
      </c>
      <c r="D287" t="s">
        <v>15</v>
      </c>
      <c r="E287" t="s">
        <v>628</v>
      </c>
      <c r="F287" s="3" t="s">
        <v>16</v>
      </c>
      <c r="G287" s="3" t="s">
        <v>16</v>
      </c>
      <c r="H287" t="s">
        <v>22</v>
      </c>
      <c r="I287" t="s">
        <v>23</v>
      </c>
      <c r="J287">
        <v>12305000</v>
      </c>
      <c r="K287" t="s">
        <v>102</v>
      </c>
      <c r="L287" t="s">
        <v>15</v>
      </c>
      <c r="M287" s="1">
        <f>Data_Caso_Propuesto[[#This Row],[Precio]]</f>
        <v>12305000</v>
      </c>
      <c r="N287" s="1" t="str">
        <f>IFERROR(Data_Caso_Propuesto[[#This Row],[Precio]]/Data_Caso_Propuesto[[#This Row],[Area Terreno]],"")</f>
        <v/>
      </c>
      <c r="O287" s="1" t="str">
        <f>IFERROR((Data_Caso_Propuesto[[#This Row],[Precio]]/Data_Caso_Propuesto[[#This Row],[Area Terreno]])/1000000,"")</f>
        <v/>
      </c>
      <c r="P287" s="1"/>
    </row>
    <row r="288" spans="1:16" x14ac:dyDescent="0.25">
      <c r="A288" t="s">
        <v>629</v>
      </c>
      <c r="B288" t="s">
        <v>93</v>
      </c>
      <c r="C288" t="s">
        <v>45</v>
      </c>
      <c r="D288" t="s">
        <v>15</v>
      </c>
      <c r="E288" t="s">
        <v>630</v>
      </c>
      <c r="F288" s="3" t="s">
        <v>16</v>
      </c>
      <c r="G288" s="3" t="s">
        <v>16</v>
      </c>
      <c r="H288" t="s">
        <v>17</v>
      </c>
      <c r="I288" t="s">
        <v>23</v>
      </c>
      <c r="J288">
        <v>12305000</v>
      </c>
      <c r="K288" t="s">
        <v>102</v>
      </c>
      <c r="L288" t="s">
        <v>15</v>
      </c>
      <c r="M288" s="1">
        <f>Data_Caso_Propuesto[[#This Row],[Precio]]</f>
        <v>12305000</v>
      </c>
      <c r="N288" s="1" t="str">
        <f>IFERROR(Data_Caso_Propuesto[[#This Row],[Precio]]/Data_Caso_Propuesto[[#This Row],[Area Terreno]],"")</f>
        <v/>
      </c>
      <c r="O288" s="1" t="str">
        <f>IFERROR((Data_Caso_Propuesto[[#This Row],[Precio]]/Data_Caso_Propuesto[[#This Row],[Area Terreno]])/1000000,"")</f>
        <v/>
      </c>
      <c r="P288" s="1"/>
    </row>
    <row r="289" spans="1:16" x14ac:dyDescent="0.25">
      <c r="A289" t="s">
        <v>631</v>
      </c>
      <c r="B289" t="s">
        <v>93</v>
      </c>
      <c r="C289" t="s">
        <v>45</v>
      </c>
      <c r="D289" t="s">
        <v>15</v>
      </c>
      <c r="E289" t="s">
        <v>632</v>
      </c>
      <c r="F289" s="3" t="s">
        <v>16</v>
      </c>
      <c r="G289" s="3" t="s">
        <v>16</v>
      </c>
      <c r="H289" t="s">
        <v>22</v>
      </c>
      <c r="I289" t="s">
        <v>23</v>
      </c>
      <c r="J289">
        <v>12305000</v>
      </c>
      <c r="K289" t="s">
        <v>102</v>
      </c>
      <c r="L289" t="s">
        <v>15</v>
      </c>
      <c r="M289" s="1">
        <f>Data_Caso_Propuesto[[#This Row],[Precio]]</f>
        <v>12305000</v>
      </c>
      <c r="N289" s="1" t="str">
        <f>IFERROR(Data_Caso_Propuesto[[#This Row],[Precio]]/Data_Caso_Propuesto[[#This Row],[Area Terreno]],"")</f>
        <v/>
      </c>
      <c r="O289" s="1" t="str">
        <f>IFERROR((Data_Caso_Propuesto[[#This Row],[Precio]]/Data_Caso_Propuesto[[#This Row],[Area Terreno]])/1000000,"")</f>
        <v/>
      </c>
      <c r="P289" s="1"/>
    </row>
    <row r="290" spans="1:16" x14ac:dyDescent="0.25">
      <c r="A290" t="s">
        <v>633</v>
      </c>
      <c r="B290" t="s">
        <v>93</v>
      </c>
      <c r="C290" t="s">
        <v>45</v>
      </c>
      <c r="D290" t="s">
        <v>15</v>
      </c>
      <c r="E290" t="s">
        <v>634</v>
      </c>
      <c r="F290" s="3" t="s">
        <v>16</v>
      </c>
      <c r="G290" s="3" t="s">
        <v>16</v>
      </c>
      <c r="H290" t="s">
        <v>22</v>
      </c>
      <c r="I290" t="s">
        <v>23</v>
      </c>
      <c r="J290">
        <v>12305000</v>
      </c>
      <c r="K290" t="s">
        <v>102</v>
      </c>
      <c r="L290" t="s">
        <v>15</v>
      </c>
      <c r="M290" s="1">
        <f>Data_Caso_Propuesto[[#This Row],[Precio]]</f>
        <v>12305000</v>
      </c>
      <c r="N290" s="1" t="str">
        <f>IFERROR(Data_Caso_Propuesto[[#This Row],[Precio]]/Data_Caso_Propuesto[[#This Row],[Area Terreno]],"")</f>
        <v/>
      </c>
      <c r="O290" s="1" t="str">
        <f>IFERROR((Data_Caso_Propuesto[[#This Row],[Precio]]/Data_Caso_Propuesto[[#This Row],[Area Terreno]])/1000000,"")</f>
        <v/>
      </c>
      <c r="P290" s="1"/>
    </row>
    <row r="291" spans="1:16" x14ac:dyDescent="0.25">
      <c r="A291" t="s">
        <v>635</v>
      </c>
      <c r="B291" t="s">
        <v>93</v>
      </c>
      <c r="C291" t="s">
        <v>45</v>
      </c>
      <c r="D291" t="s">
        <v>15</v>
      </c>
      <c r="E291" t="s">
        <v>636</v>
      </c>
      <c r="F291" s="3" t="s">
        <v>16</v>
      </c>
      <c r="G291" s="3" t="s">
        <v>16</v>
      </c>
      <c r="H291" t="s">
        <v>22</v>
      </c>
      <c r="I291" t="s">
        <v>23</v>
      </c>
      <c r="J291">
        <v>12305000</v>
      </c>
      <c r="K291" t="s">
        <v>102</v>
      </c>
      <c r="L291" t="s">
        <v>15</v>
      </c>
      <c r="M291" s="1">
        <f>Data_Caso_Propuesto[[#This Row],[Precio]]</f>
        <v>12305000</v>
      </c>
      <c r="N291" s="1" t="str">
        <f>IFERROR(Data_Caso_Propuesto[[#This Row],[Precio]]/Data_Caso_Propuesto[[#This Row],[Area Terreno]],"")</f>
        <v/>
      </c>
      <c r="O291" s="1" t="str">
        <f>IFERROR((Data_Caso_Propuesto[[#This Row],[Precio]]/Data_Caso_Propuesto[[#This Row],[Area Terreno]])/1000000,"")</f>
        <v/>
      </c>
      <c r="P291" s="1"/>
    </row>
    <row r="292" spans="1:16" x14ac:dyDescent="0.25">
      <c r="A292" t="s">
        <v>637</v>
      </c>
      <c r="B292" t="s">
        <v>93</v>
      </c>
      <c r="C292" t="s">
        <v>45</v>
      </c>
      <c r="D292" t="s">
        <v>15</v>
      </c>
      <c r="E292" t="s">
        <v>638</v>
      </c>
      <c r="F292" s="3" t="s">
        <v>16</v>
      </c>
      <c r="G292" s="3" t="s">
        <v>16</v>
      </c>
      <c r="H292" t="s">
        <v>22</v>
      </c>
      <c r="I292" t="s">
        <v>23</v>
      </c>
      <c r="J292">
        <v>12305000</v>
      </c>
      <c r="K292" t="s">
        <v>102</v>
      </c>
      <c r="L292" t="s">
        <v>15</v>
      </c>
      <c r="M292" s="1">
        <f>Data_Caso_Propuesto[[#This Row],[Precio]]</f>
        <v>12305000</v>
      </c>
      <c r="N292" s="1" t="str">
        <f>IFERROR(Data_Caso_Propuesto[[#This Row],[Precio]]/Data_Caso_Propuesto[[#This Row],[Area Terreno]],"")</f>
        <v/>
      </c>
      <c r="O292" s="1" t="str">
        <f>IFERROR((Data_Caso_Propuesto[[#This Row],[Precio]]/Data_Caso_Propuesto[[#This Row],[Area Terreno]])/1000000,"")</f>
        <v/>
      </c>
      <c r="P292" s="1"/>
    </row>
    <row r="293" spans="1:16" x14ac:dyDescent="0.25">
      <c r="A293" t="s">
        <v>639</v>
      </c>
      <c r="B293" t="s">
        <v>93</v>
      </c>
      <c r="C293" t="s">
        <v>45</v>
      </c>
      <c r="D293" t="s">
        <v>15</v>
      </c>
      <c r="E293" t="s">
        <v>640</v>
      </c>
      <c r="F293" s="3" t="s">
        <v>16</v>
      </c>
      <c r="G293" s="3" t="s">
        <v>16</v>
      </c>
      <c r="H293" t="s">
        <v>22</v>
      </c>
      <c r="I293" t="s">
        <v>23</v>
      </c>
      <c r="J293">
        <v>12305000</v>
      </c>
      <c r="K293" t="s">
        <v>102</v>
      </c>
      <c r="L293" t="s">
        <v>15</v>
      </c>
      <c r="M293" s="1">
        <f>Data_Caso_Propuesto[[#This Row],[Precio]]</f>
        <v>12305000</v>
      </c>
      <c r="N293" s="1" t="str">
        <f>IFERROR(Data_Caso_Propuesto[[#This Row],[Precio]]/Data_Caso_Propuesto[[#This Row],[Area Terreno]],"")</f>
        <v/>
      </c>
      <c r="O293" s="1" t="str">
        <f>IFERROR((Data_Caso_Propuesto[[#This Row],[Precio]]/Data_Caso_Propuesto[[#This Row],[Area Terreno]])/1000000,"")</f>
        <v/>
      </c>
      <c r="P293" s="1"/>
    </row>
    <row r="294" spans="1:16" x14ac:dyDescent="0.25">
      <c r="A294" t="s">
        <v>641</v>
      </c>
      <c r="B294" t="s">
        <v>93</v>
      </c>
      <c r="C294" t="s">
        <v>45</v>
      </c>
      <c r="D294" t="s">
        <v>15</v>
      </c>
      <c r="E294" t="s">
        <v>642</v>
      </c>
      <c r="F294" s="3" t="s">
        <v>16</v>
      </c>
      <c r="G294" s="3" t="s">
        <v>16</v>
      </c>
      <c r="H294" t="s">
        <v>22</v>
      </c>
      <c r="I294" t="s">
        <v>23</v>
      </c>
      <c r="J294">
        <v>12305000</v>
      </c>
      <c r="K294" t="s">
        <v>102</v>
      </c>
      <c r="L294" t="s">
        <v>15</v>
      </c>
      <c r="M294" s="1">
        <f>Data_Caso_Propuesto[[#This Row],[Precio]]</f>
        <v>12305000</v>
      </c>
      <c r="N294" s="1" t="str">
        <f>IFERROR(Data_Caso_Propuesto[[#This Row],[Precio]]/Data_Caso_Propuesto[[#This Row],[Area Terreno]],"")</f>
        <v/>
      </c>
      <c r="O294" s="1" t="str">
        <f>IFERROR((Data_Caso_Propuesto[[#This Row],[Precio]]/Data_Caso_Propuesto[[#This Row],[Area Terreno]])/1000000,"")</f>
        <v/>
      </c>
      <c r="P294" s="1"/>
    </row>
    <row r="295" spans="1:16" x14ac:dyDescent="0.25">
      <c r="A295" t="s">
        <v>643</v>
      </c>
      <c r="B295" t="s">
        <v>93</v>
      </c>
      <c r="C295" t="s">
        <v>45</v>
      </c>
      <c r="D295" t="s">
        <v>15</v>
      </c>
      <c r="E295" t="s">
        <v>644</v>
      </c>
      <c r="F295" s="3" t="s">
        <v>16</v>
      </c>
      <c r="G295" s="3" t="s">
        <v>16</v>
      </c>
      <c r="H295" t="s">
        <v>22</v>
      </c>
      <c r="I295" t="s">
        <v>23</v>
      </c>
      <c r="J295">
        <v>12305000</v>
      </c>
      <c r="K295" t="s">
        <v>102</v>
      </c>
      <c r="L295" t="s">
        <v>15</v>
      </c>
      <c r="M295" s="1">
        <f>Data_Caso_Propuesto[[#This Row],[Precio]]</f>
        <v>12305000</v>
      </c>
      <c r="N295" s="1" t="str">
        <f>IFERROR(Data_Caso_Propuesto[[#This Row],[Precio]]/Data_Caso_Propuesto[[#This Row],[Area Terreno]],"")</f>
        <v/>
      </c>
      <c r="O295" s="1" t="str">
        <f>IFERROR((Data_Caso_Propuesto[[#This Row],[Precio]]/Data_Caso_Propuesto[[#This Row],[Area Terreno]])/1000000,"")</f>
        <v/>
      </c>
      <c r="P295" s="1"/>
    </row>
    <row r="296" spans="1:16" x14ac:dyDescent="0.25">
      <c r="A296" t="s">
        <v>645</v>
      </c>
      <c r="B296" t="s">
        <v>93</v>
      </c>
      <c r="C296" t="s">
        <v>45</v>
      </c>
      <c r="D296" t="s">
        <v>15</v>
      </c>
      <c r="E296" t="s">
        <v>646</v>
      </c>
      <c r="F296" s="3" t="s">
        <v>16</v>
      </c>
      <c r="G296" s="3" t="s">
        <v>16</v>
      </c>
      <c r="H296" t="s">
        <v>22</v>
      </c>
      <c r="I296" t="s">
        <v>23</v>
      </c>
      <c r="J296">
        <v>12305000</v>
      </c>
      <c r="K296" t="s">
        <v>102</v>
      </c>
      <c r="L296" t="s">
        <v>15</v>
      </c>
      <c r="M296" s="1">
        <f>Data_Caso_Propuesto[[#This Row],[Precio]]</f>
        <v>12305000</v>
      </c>
      <c r="N296" s="1" t="str">
        <f>IFERROR(Data_Caso_Propuesto[[#This Row],[Precio]]/Data_Caso_Propuesto[[#This Row],[Area Terreno]],"")</f>
        <v/>
      </c>
      <c r="O296" s="1" t="str">
        <f>IFERROR((Data_Caso_Propuesto[[#This Row],[Precio]]/Data_Caso_Propuesto[[#This Row],[Area Terreno]])/1000000,"")</f>
        <v/>
      </c>
      <c r="P296" s="1"/>
    </row>
    <row r="297" spans="1:16" x14ac:dyDescent="0.25">
      <c r="A297" t="s">
        <v>647</v>
      </c>
      <c r="B297" t="s">
        <v>93</v>
      </c>
      <c r="C297" t="s">
        <v>45</v>
      </c>
      <c r="D297" t="s">
        <v>15</v>
      </c>
      <c r="E297" t="s">
        <v>648</v>
      </c>
      <c r="F297" s="3" t="s">
        <v>16</v>
      </c>
      <c r="G297" s="3" t="s">
        <v>16</v>
      </c>
      <c r="H297" t="s">
        <v>22</v>
      </c>
      <c r="I297" t="s">
        <v>23</v>
      </c>
      <c r="J297">
        <v>12305000</v>
      </c>
      <c r="K297" t="s">
        <v>102</v>
      </c>
      <c r="L297" t="s">
        <v>15</v>
      </c>
      <c r="M297" s="1">
        <f>Data_Caso_Propuesto[[#This Row],[Precio]]</f>
        <v>12305000</v>
      </c>
      <c r="N297" s="1" t="str">
        <f>IFERROR(Data_Caso_Propuesto[[#This Row],[Precio]]/Data_Caso_Propuesto[[#This Row],[Area Terreno]],"")</f>
        <v/>
      </c>
      <c r="O297" s="1" t="str">
        <f>IFERROR((Data_Caso_Propuesto[[#This Row],[Precio]]/Data_Caso_Propuesto[[#This Row],[Area Terreno]])/1000000,"")</f>
        <v/>
      </c>
      <c r="P297" s="1"/>
    </row>
    <row r="298" spans="1:16" x14ac:dyDescent="0.25">
      <c r="A298" t="s">
        <v>649</v>
      </c>
      <c r="B298" t="s">
        <v>93</v>
      </c>
      <c r="C298" t="s">
        <v>45</v>
      </c>
      <c r="D298" t="s">
        <v>15</v>
      </c>
      <c r="E298" t="s">
        <v>650</v>
      </c>
      <c r="F298" s="3" t="s">
        <v>16</v>
      </c>
      <c r="G298" s="3" t="s">
        <v>16</v>
      </c>
      <c r="H298" t="s">
        <v>22</v>
      </c>
      <c r="I298" t="s">
        <v>23</v>
      </c>
      <c r="J298">
        <v>12305000</v>
      </c>
      <c r="K298" t="s">
        <v>102</v>
      </c>
      <c r="L298" t="s">
        <v>15</v>
      </c>
      <c r="M298" s="1">
        <f>Data_Caso_Propuesto[[#This Row],[Precio]]</f>
        <v>12305000</v>
      </c>
      <c r="N298" s="1" t="str">
        <f>IFERROR(Data_Caso_Propuesto[[#This Row],[Precio]]/Data_Caso_Propuesto[[#This Row],[Area Terreno]],"")</f>
        <v/>
      </c>
      <c r="O298" s="1" t="str">
        <f>IFERROR((Data_Caso_Propuesto[[#This Row],[Precio]]/Data_Caso_Propuesto[[#This Row],[Area Terreno]])/1000000,"")</f>
        <v/>
      </c>
      <c r="P298" s="1"/>
    </row>
    <row r="299" spans="1:16" x14ac:dyDescent="0.25">
      <c r="A299" t="s">
        <v>651</v>
      </c>
      <c r="B299" t="s">
        <v>93</v>
      </c>
      <c r="C299" t="s">
        <v>45</v>
      </c>
      <c r="D299" t="s">
        <v>15</v>
      </c>
      <c r="E299" t="s">
        <v>652</v>
      </c>
      <c r="F299" s="3" t="s">
        <v>16</v>
      </c>
      <c r="G299" s="3" t="s">
        <v>16</v>
      </c>
      <c r="H299" t="s">
        <v>22</v>
      </c>
      <c r="I299" t="s">
        <v>23</v>
      </c>
      <c r="J299">
        <v>12305000</v>
      </c>
      <c r="K299" t="s">
        <v>102</v>
      </c>
      <c r="L299" t="s">
        <v>15</v>
      </c>
      <c r="M299" s="1">
        <f>Data_Caso_Propuesto[[#This Row],[Precio]]</f>
        <v>12305000</v>
      </c>
      <c r="N299" s="1" t="str">
        <f>IFERROR(Data_Caso_Propuesto[[#This Row],[Precio]]/Data_Caso_Propuesto[[#This Row],[Area Terreno]],"")</f>
        <v/>
      </c>
      <c r="O299" s="1" t="str">
        <f>IFERROR((Data_Caso_Propuesto[[#This Row],[Precio]]/Data_Caso_Propuesto[[#This Row],[Area Terreno]])/1000000,"")</f>
        <v/>
      </c>
      <c r="P299" s="1"/>
    </row>
    <row r="300" spans="1:16" x14ac:dyDescent="0.25">
      <c r="A300" t="s">
        <v>653</v>
      </c>
      <c r="B300" t="s">
        <v>93</v>
      </c>
      <c r="C300" t="s">
        <v>45</v>
      </c>
      <c r="D300" t="s">
        <v>15</v>
      </c>
      <c r="E300" t="s">
        <v>654</v>
      </c>
      <c r="F300" s="3" t="s">
        <v>16</v>
      </c>
      <c r="G300" s="3" t="s">
        <v>16</v>
      </c>
      <c r="H300" t="s">
        <v>22</v>
      </c>
      <c r="I300" t="s">
        <v>23</v>
      </c>
      <c r="J300">
        <v>12305000</v>
      </c>
      <c r="K300" t="s">
        <v>102</v>
      </c>
      <c r="L300" t="s">
        <v>15</v>
      </c>
      <c r="M300" s="1">
        <f>Data_Caso_Propuesto[[#This Row],[Precio]]</f>
        <v>12305000</v>
      </c>
      <c r="N300" s="1" t="str">
        <f>IFERROR(Data_Caso_Propuesto[[#This Row],[Precio]]/Data_Caso_Propuesto[[#This Row],[Area Terreno]],"")</f>
        <v/>
      </c>
      <c r="O300" s="1" t="str">
        <f>IFERROR((Data_Caso_Propuesto[[#This Row],[Precio]]/Data_Caso_Propuesto[[#This Row],[Area Terreno]])/1000000,"")</f>
        <v/>
      </c>
      <c r="P300" s="1"/>
    </row>
    <row r="301" spans="1:16" x14ac:dyDescent="0.25">
      <c r="A301" t="s">
        <v>655</v>
      </c>
      <c r="B301" t="s">
        <v>93</v>
      </c>
      <c r="C301" t="s">
        <v>45</v>
      </c>
      <c r="D301" t="s">
        <v>15</v>
      </c>
      <c r="E301" t="s">
        <v>656</v>
      </c>
      <c r="F301" s="3" t="s">
        <v>16</v>
      </c>
      <c r="G301" s="3" t="s">
        <v>16</v>
      </c>
      <c r="H301" t="s">
        <v>22</v>
      </c>
      <c r="I301" t="s">
        <v>23</v>
      </c>
      <c r="J301">
        <v>12305000</v>
      </c>
      <c r="K301" t="s">
        <v>102</v>
      </c>
      <c r="L301" t="s">
        <v>15</v>
      </c>
      <c r="M301" s="1">
        <f>Data_Caso_Propuesto[[#This Row],[Precio]]</f>
        <v>12305000</v>
      </c>
      <c r="N301" s="1" t="str">
        <f>IFERROR(Data_Caso_Propuesto[[#This Row],[Precio]]/Data_Caso_Propuesto[[#This Row],[Area Terreno]],"")</f>
        <v/>
      </c>
      <c r="O301" s="1" t="str">
        <f>IFERROR((Data_Caso_Propuesto[[#This Row],[Precio]]/Data_Caso_Propuesto[[#This Row],[Area Terreno]])/1000000,"")</f>
        <v/>
      </c>
      <c r="P301" s="1"/>
    </row>
    <row r="302" spans="1:16" x14ac:dyDescent="0.25">
      <c r="A302" t="s">
        <v>657</v>
      </c>
      <c r="B302" t="s">
        <v>93</v>
      </c>
      <c r="C302" t="s">
        <v>45</v>
      </c>
      <c r="D302" t="s">
        <v>15</v>
      </c>
      <c r="E302" t="s">
        <v>658</v>
      </c>
      <c r="F302" s="3" t="s">
        <v>16</v>
      </c>
      <c r="G302" s="3" t="s">
        <v>16</v>
      </c>
      <c r="H302" t="s">
        <v>22</v>
      </c>
      <c r="I302" t="s">
        <v>23</v>
      </c>
      <c r="J302">
        <v>12305000</v>
      </c>
      <c r="K302" t="s">
        <v>102</v>
      </c>
      <c r="L302" t="s">
        <v>15</v>
      </c>
      <c r="M302" s="1">
        <f>Data_Caso_Propuesto[[#This Row],[Precio]]</f>
        <v>12305000</v>
      </c>
      <c r="N302" s="1" t="str">
        <f>IFERROR(Data_Caso_Propuesto[[#This Row],[Precio]]/Data_Caso_Propuesto[[#This Row],[Area Terreno]],"")</f>
        <v/>
      </c>
      <c r="O302" s="1" t="str">
        <f>IFERROR((Data_Caso_Propuesto[[#This Row],[Precio]]/Data_Caso_Propuesto[[#This Row],[Area Terreno]])/1000000,"")</f>
        <v/>
      </c>
      <c r="P302" s="1"/>
    </row>
    <row r="303" spans="1:16" x14ac:dyDescent="0.25">
      <c r="A303" t="s">
        <v>659</v>
      </c>
      <c r="B303" t="s">
        <v>93</v>
      </c>
      <c r="C303" t="s">
        <v>45</v>
      </c>
      <c r="D303" t="s">
        <v>15</v>
      </c>
      <c r="E303" t="s">
        <v>660</v>
      </c>
      <c r="F303" s="3" t="s">
        <v>16</v>
      </c>
      <c r="G303" s="3" t="s">
        <v>16</v>
      </c>
      <c r="H303" t="s">
        <v>22</v>
      </c>
      <c r="I303" t="s">
        <v>23</v>
      </c>
      <c r="J303">
        <v>12305000</v>
      </c>
      <c r="K303" t="s">
        <v>102</v>
      </c>
      <c r="L303" t="s">
        <v>15</v>
      </c>
      <c r="M303" s="1">
        <f>Data_Caso_Propuesto[[#This Row],[Precio]]</f>
        <v>12305000</v>
      </c>
      <c r="N303" s="1" t="str">
        <f>IFERROR(Data_Caso_Propuesto[[#This Row],[Precio]]/Data_Caso_Propuesto[[#This Row],[Area Terreno]],"")</f>
        <v/>
      </c>
      <c r="O303" s="1" t="str">
        <f>IFERROR((Data_Caso_Propuesto[[#This Row],[Precio]]/Data_Caso_Propuesto[[#This Row],[Area Terreno]])/1000000,"")</f>
        <v/>
      </c>
      <c r="P303" s="1"/>
    </row>
    <row r="304" spans="1:16" x14ac:dyDescent="0.25">
      <c r="A304" t="s">
        <v>661</v>
      </c>
      <c r="B304" t="s">
        <v>93</v>
      </c>
      <c r="C304" t="s">
        <v>45</v>
      </c>
      <c r="D304" t="s">
        <v>15</v>
      </c>
      <c r="E304" t="s">
        <v>662</v>
      </c>
      <c r="F304" s="3" t="s">
        <v>16</v>
      </c>
      <c r="G304" s="3" t="s">
        <v>16</v>
      </c>
      <c r="H304" t="s">
        <v>22</v>
      </c>
      <c r="I304" t="s">
        <v>23</v>
      </c>
      <c r="J304">
        <v>12305000</v>
      </c>
      <c r="K304" t="s">
        <v>102</v>
      </c>
      <c r="L304" t="s">
        <v>15</v>
      </c>
      <c r="M304" s="1">
        <f>Data_Caso_Propuesto[[#This Row],[Precio]]</f>
        <v>12305000</v>
      </c>
      <c r="N304" s="1" t="str">
        <f>IFERROR(Data_Caso_Propuesto[[#This Row],[Precio]]/Data_Caso_Propuesto[[#This Row],[Area Terreno]],"")</f>
        <v/>
      </c>
      <c r="O304" s="1" t="str">
        <f>IFERROR((Data_Caso_Propuesto[[#This Row],[Precio]]/Data_Caso_Propuesto[[#This Row],[Area Terreno]])/1000000,"")</f>
        <v/>
      </c>
      <c r="P304" s="1"/>
    </row>
    <row r="305" spans="1:16" x14ac:dyDescent="0.25">
      <c r="A305" t="s">
        <v>663</v>
      </c>
      <c r="B305" t="s">
        <v>93</v>
      </c>
      <c r="C305" t="s">
        <v>45</v>
      </c>
      <c r="D305" t="s">
        <v>15</v>
      </c>
      <c r="E305" t="s">
        <v>664</v>
      </c>
      <c r="F305" s="3" t="s">
        <v>16</v>
      </c>
      <c r="G305" s="3" t="s">
        <v>16</v>
      </c>
      <c r="H305" t="s">
        <v>22</v>
      </c>
      <c r="I305" t="s">
        <v>23</v>
      </c>
      <c r="J305">
        <v>12305000</v>
      </c>
      <c r="K305" t="s">
        <v>102</v>
      </c>
      <c r="L305" t="s">
        <v>15</v>
      </c>
      <c r="M305" s="1">
        <f>Data_Caso_Propuesto[[#This Row],[Precio]]</f>
        <v>12305000</v>
      </c>
      <c r="N305" s="1" t="str">
        <f>IFERROR(Data_Caso_Propuesto[[#This Row],[Precio]]/Data_Caso_Propuesto[[#This Row],[Area Terreno]],"")</f>
        <v/>
      </c>
      <c r="O305" s="1" t="str">
        <f>IFERROR((Data_Caso_Propuesto[[#This Row],[Precio]]/Data_Caso_Propuesto[[#This Row],[Area Terreno]])/1000000,"")</f>
        <v/>
      </c>
      <c r="P305" s="1"/>
    </row>
    <row r="306" spans="1:16" x14ac:dyDescent="0.25">
      <c r="A306" t="s">
        <v>665</v>
      </c>
      <c r="B306" t="s">
        <v>93</v>
      </c>
      <c r="C306" t="s">
        <v>45</v>
      </c>
      <c r="D306" t="s">
        <v>15</v>
      </c>
      <c r="E306" t="s">
        <v>666</v>
      </c>
      <c r="F306" s="3" t="s">
        <v>16</v>
      </c>
      <c r="G306" s="3" t="s">
        <v>16</v>
      </c>
      <c r="H306" t="s">
        <v>22</v>
      </c>
      <c r="I306" t="s">
        <v>23</v>
      </c>
      <c r="J306">
        <v>12305000</v>
      </c>
      <c r="K306" t="s">
        <v>102</v>
      </c>
      <c r="L306" t="s">
        <v>15</v>
      </c>
      <c r="M306" s="1">
        <f>Data_Caso_Propuesto[[#This Row],[Precio]]</f>
        <v>12305000</v>
      </c>
      <c r="N306" s="1" t="str">
        <f>IFERROR(Data_Caso_Propuesto[[#This Row],[Precio]]/Data_Caso_Propuesto[[#This Row],[Area Terreno]],"")</f>
        <v/>
      </c>
      <c r="O306" s="1" t="str">
        <f>IFERROR((Data_Caso_Propuesto[[#This Row],[Precio]]/Data_Caso_Propuesto[[#This Row],[Area Terreno]])/1000000,"")</f>
        <v/>
      </c>
      <c r="P306" s="1"/>
    </row>
    <row r="307" spans="1:16" x14ac:dyDescent="0.25">
      <c r="A307" t="s">
        <v>667</v>
      </c>
      <c r="B307" t="s">
        <v>93</v>
      </c>
      <c r="C307" t="s">
        <v>45</v>
      </c>
      <c r="D307" t="s">
        <v>15</v>
      </c>
      <c r="E307" t="s">
        <v>668</v>
      </c>
      <c r="F307" s="3" t="s">
        <v>16</v>
      </c>
      <c r="G307" s="3" t="s">
        <v>16</v>
      </c>
      <c r="H307" t="s">
        <v>22</v>
      </c>
      <c r="I307" t="s">
        <v>23</v>
      </c>
      <c r="J307">
        <v>12305000</v>
      </c>
      <c r="K307" t="s">
        <v>102</v>
      </c>
      <c r="L307" t="s">
        <v>15</v>
      </c>
      <c r="M307" s="1">
        <f>Data_Caso_Propuesto[[#This Row],[Precio]]</f>
        <v>12305000</v>
      </c>
      <c r="N307" s="1" t="str">
        <f>IFERROR(Data_Caso_Propuesto[[#This Row],[Precio]]/Data_Caso_Propuesto[[#This Row],[Area Terreno]],"")</f>
        <v/>
      </c>
      <c r="O307" s="1" t="str">
        <f>IFERROR((Data_Caso_Propuesto[[#This Row],[Precio]]/Data_Caso_Propuesto[[#This Row],[Area Terreno]])/1000000,"")</f>
        <v/>
      </c>
      <c r="P307" s="1"/>
    </row>
    <row r="308" spans="1:16" x14ac:dyDescent="0.25">
      <c r="A308" t="s">
        <v>669</v>
      </c>
      <c r="B308" t="s">
        <v>93</v>
      </c>
      <c r="C308" t="s">
        <v>45</v>
      </c>
      <c r="D308" t="s">
        <v>15</v>
      </c>
      <c r="E308" t="s">
        <v>670</v>
      </c>
      <c r="F308" s="3" t="s">
        <v>16</v>
      </c>
      <c r="G308" s="3" t="s">
        <v>16</v>
      </c>
      <c r="H308" t="s">
        <v>22</v>
      </c>
      <c r="I308" t="s">
        <v>23</v>
      </c>
      <c r="J308">
        <v>12305000</v>
      </c>
      <c r="K308" t="s">
        <v>102</v>
      </c>
      <c r="L308" t="s">
        <v>15</v>
      </c>
      <c r="M308" s="1">
        <f>Data_Caso_Propuesto[[#This Row],[Precio]]</f>
        <v>12305000</v>
      </c>
      <c r="N308" s="1" t="str">
        <f>IFERROR(Data_Caso_Propuesto[[#This Row],[Precio]]/Data_Caso_Propuesto[[#This Row],[Area Terreno]],"")</f>
        <v/>
      </c>
      <c r="O308" s="1" t="str">
        <f>IFERROR((Data_Caso_Propuesto[[#This Row],[Precio]]/Data_Caso_Propuesto[[#This Row],[Area Terreno]])/1000000,"")</f>
        <v/>
      </c>
      <c r="P308" s="1"/>
    </row>
    <row r="309" spans="1:16" x14ac:dyDescent="0.25">
      <c r="A309" t="s">
        <v>671</v>
      </c>
      <c r="B309" t="s">
        <v>93</v>
      </c>
      <c r="C309" t="s">
        <v>45</v>
      </c>
      <c r="D309" t="s">
        <v>15</v>
      </c>
      <c r="E309" t="s">
        <v>672</v>
      </c>
      <c r="F309" s="3" t="s">
        <v>16</v>
      </c>
      <c r="G309" s="3" t="s">
        <v>16</v>
      </c>
      <c r="H309" t="s">
        <v>22</v>
      </c>
      <c r="I309" t="s">
        <v>23</v>
      </c>
      <c r="J309">
        <v>12305000</v>
      </c>
      <c r="K309" t="s">
        <v>102</v>
      </c>
      <c r="L309" t="s">
        <v>15</v>
      </c>
      <c r="M309" s="1">
        <f>Data_Caso_Propuesto[[#This Row],[Precio]]</f>
        <v>12305000</v>
      </c>
      <c r="N309" s="1" t="str">
        <f>IFERROR(Data_Caso_Propuesto[[#This Row],[Precio]]/Data_Caso_Propuesto[[#This Row],[Area Terreno]],"")</f>
        <v/>
      </c>
      <c r="O309" s="1" t="str">
        <f>IFERROR((Data_Caso_Propuesto[[#This Row],[Precio]]/Data_Caso_Propuesto[[#This Row],[Area Terreno]])/1000000,"")</f>
        <v/>
      </c>
      <c r="P309" s="1"/>
    </row>
    <row r="310" spans="1:16" x14ac:dyDescent="0.25">
      <c r="A310" t="s">
        <v>673</v>
      </c>
      <c r="B310" t="s">
        <v>93</v>
      </c>
      <c r="C310" t="s">
        <v>45</v>
      </c>
      <c r="D310" t="s">
        <v>15</v>
      </c>
      <c r="E310" t="s">
        <v>674</v>
      </c>
      <c r="F310" s="3" t="s">
        <v>16</v>
      </c>
      <c r="G310" s="3" t="s">
        <v>16</v>
      </c>
      <c r="H310" t="s">
        <v>22</v>
      </c>
      <c r="I310" t="s">
        <v>23</v>
      </c>
      <c r="J310">
        <v>12305000</v>
      </c>
      <c r="K310" t="s">
        <v>102</v>
      </c>
      <c r="L310" t="s">
        <v>15</v>
      </c>
      <c r="M310" s="1">
        <f>Data_Caso_Propuesto[[#This Row],[Precio]]</f>
        <v>12305000</v>
      </c>
      <c r="N310" s="1" t="str">
        <f>IFERROR(Data_Caso_Propuesto[[#This Row],[Precio]]/Data_Caso_Propuesto[[#This Row],[Area Terreno]],"")</f>
        <v/>
      </c>
      <c r="O310" s="1" t="str">
        <f>IFERROR((Data_Caso_Propuesto[[#This Row],[Precio]]/Data_Caso_Propuesto[[#This Row],[Area Terreno]])/1000000,"")</f>
        <v/>
      </c>
      <c r="P310" s="1"/>
    </row>
    <row r="311" spans="1:16" x14ac:dyDescent="0.25">
      <c r="A311" t="s">
        <v>675</v>
      </c>
      <c r="B311" t="s">
        <v>93</v>
      </c>
      <c r="C311" t="s">
        <v>45</v>
      </c>
      <c r="D311" t="s">
        <v>15</v>
      </c>
      <c r="E311" t="s">
        <v>676</v>
      </c>
      <c r="F311" s="3" t="s">
        <v>16</v>
      </c>
      <c r="G311" s="3" t="s">
        <v>16</v>
      </c>
      <c r="H311" t="s">
        <v>22</v>
      </c>
      <c r="I311" t="s">
        <v>23</v>
      </c>
      <c r="J311">
        <v>12305000</v>
      </c>
      <c r="K311" t="s">
        <v>102</v>
      </c>
      <c r="L311" t="s">
        <v>15</v>
      </c>
      <c r="M311" s="1">
        <f>Data_Caso_Propuesto[[#This Row],[Precio]]</f>
        <v>12305000</v>
      </c>
      <c r="N311" s="1" t="str">
        <f>IFERROR(Data_Caso_Propuesto[[#This Row],[Precio]]/Data_Caso_Propuesto[[#This Row],[Area Terreno]],"")</f>
        <v/>
      </c>
      <c r="O311" s="1" t="str">
        <f>IFERROR((Data_Caso_Propuesto[[#This Row],[Precio]]/Data_Caso_Propuesto[[#This Row],[Area Terreno]])/1000000,"")</f>
        <v/>
      </c>
      <c r="P311" s="1"/>
    </row>
    <row r="312" spans="1:16" x14ac:dyDescent="0.25">
      <c r="A312" t="s">
        <v>677</v>
      </c>
      <c r="B312" t="s">
        <v>93</v>
      </c>
      <c r="C312" t="s">
        <v>45</v>
      </c>
      <c r="D312" t="s">
        <v>15</v>
      </c>
      <c r="E312" t="s">
        <v>678</v>
      </c>
      <c r="F312" s="3" t="s">
        <v>16</v>
      </c>
      <c r="G312" s="3" t="s">
        <v>16</v>
      </c>
      <c r="H312" t="s">
        <v>22</v>
      </c>
      <c r="I312" t="s">
        <v>23</v>
      </c>
      <c r="J312">
        <v>12305000</v>
      </c>
      <c r="K312" t="s">
        <v>102</v>
      </c>
      <c r="L312" t="s">
        <v>15</v>
      </c>
      <c r="M312" s="1">
        <f>Data_Caso_Propuesto[[#This Row],[Precio]]</f>
        <v>12305000</v>
      </c>
      <c r="N312" s="1" t="str">
        <f>IFERROR(Data_Caso_Propuesto[[#This Row],[Precio]]/Data_Caso_Propuesto[[#This Row],[Area Terreno]],"")</f>
        <v/>
      </c>
      <c r="O312" s="1" t="str">
        <f>IFERROR((Data_Caso_Propuesto[[#This Row],[Precio]]/Data_Caso_Propuesto[[#This Row],[Area Terreno]])/1000000,"")</f>
        <v/>
      </c>
      <c r="P312" s="1"/>
    </row>
    <row r="313" spans="1:16" x14ac:dyDescent="0.25">
      <c r="A313" t="s">
        <v>679</v>
      </c>
      <c r="B313" t="s">
        <v>93</v>
      </c>
      <c r="C313" t="s">
        <v>45</v>
      </c>
      <c r="D313" t="s">
        <v>15</v>
      </c>
      <c r="E313" t="s">
        <v>680</v>
      </c>
      <c r="F313" s="3" t="s">
        <v>16</v>
      </c>
      <c r="G313" s="3" t="s">
        <v>16</v>
      </c>
      <c r="H313" t="s">
        <v>22</v>
      </c>
      <c r="I313" t="s">
        <v>23</v>
      </c>
      <c r="J313">
        <v>12305000</v>
      </c>
      <c r="K313" t="s">
        <v>102</v>
      </c>
      <c r="L313" t="s">
        <v>15</v>
      </c>
      <c r="M313" s="1">
        <f>Data_Caso_Propuesto[[#This Row],[Precio]]</f>
        <v>12305000</v>
      </c>
      <c r="N313" s="1" t="str">
        <f>IFERROR(Data_Caso_Propuesto[[#This Row],[Precio]]/Data_Caso_Propuesto[[#This Row],[Area Terreno]],"")</f>
        <v/>
      </c>
      <c r="O313" s="1" t="str">
        <f>IFERROR((Data_Caso_Propuesto[[#This Row],[Precio]]/Data_Caso_Propuesto[[#This Row],[Area Terreno]])/1000000,"")</f>
        <v/>
      </c>
      <c r="P313" s="1"/>
    </row>
    <row r="314" spans="1:16" x14ac:dyDescent="0.25">
      <c r="A314" t="s">
        <v>681</v>
      </c>
      <c r="B314" t="s">
        <v>93</v>
      </c>
      <c r="C314" t="s">
        <v>45</v>
      </c>
      <c r="D314" t="s">
        <v>15</v>
      </c>
      <c r="E314" t="s">
        <v>682</v>
      </c>
      <c r="F314" s="3" t="s">
        <v>16</v>
      </c>
      <c r="G314" s="3" t="s">
        <v>16</v>
      </c>
      <c r="H314" t="s">
        <v>22</v>
      </c>
      <c r="I314" t="s">
        <v>23</v>
      </c>
      <c r="J314">
        <v>12305000</v>
      </c>
      <c r="K314" t="s">
        <v>102</v>
      </c>
      <c r="L314" t="s">
        <v>15</v>
      </c>
      <c r="M314" s="1">
        <f>Data_Caso_Propuesto[[#This Row],[Precio]]</f>
        <v>12305000</v>
      </c>
      <c r="N314" s="1" t="str">
        <f>IFERROR(Data_Caso_Propuesto[[#This Row],[Precio]]/Data_Caso_Propuesto[[#This Row],[Area Terreno]],"")</f>
        <v/>
      </c>
      <c r="O314" s="1" t="str">
        <f>IFERROR((Data_Caso_Propuesto[[#This Row],[Precio]]/Data_Caso_Propuesto[[#This Row],[Area Terreno]])/1000000,"")</f>
        <v/>
      </c>
      <c r="P314" s="1"/>
    </row>
    <row r="315" spans="1:16" x14ac:dyDescent="0.25">
      <c r="A315" t="s">
        <v>683</v>
      </c>
      <c r="B315" t="s">
        <v>93</v>
      </c>
      <c r="C315" t="s">
        <v>45</v>
      </c>
      <c r="D315" t="s">
        <v>15</v>
      </c>
      <c r="E315" t="s">
        <v>684</v>
      </c>
      <c r="F315" s="3" t="s">
        <v>16</v>
      </c>
      <c r="G315" s="3" t="s">
        <v>16</v>
      </c>
      <c r="H315" t="s">
        <v>22</v>
      </c>
      <c r="I315" t="s">
        <v>23</v>
      </c>
      <c r="J315">
        <v>12305000</v>
      </c>
      <c r="K315" t="s">
        <v>102</v>
      </c>
      <c r="L315" t="s">
        <v>15</v>
      </c>
      <c r="M315" s="1">
        <f>Data_Caso_Propuesto[[#This Row],[Precio]]</f>
        <v>12305000</v>
      </c>
      <c r="N315" s="1" t="str">
        <f>IFERROR(Data_Caso_Propuesto[[#This Row],[Precio]]/Data_Caso_Propuesto[[#This Row],[Area Terreno]],"")</f>
        <v/>
      </c>
      <c r="O315" s="1" t="str">
        <f>IFERROR((Data_Caso_Propuesto[[#This Row],[Precio]]/Data_Caso_Propuesto[[#This Row],[Area Terreno]])/1000000,"")</f>
        <v/>
      </c>
      <c r="P315" s="1"/>
    </row>
    <row r="316" spans="1:16" x14ac:dyDescent="0.25">
      <c r="A316" t="s">
        <v>685</v>
      </c>
      <c r="B316" t="s">
        <v>93</v>
      </c>
      <c r="C316" t="s">
        <v>45</v>
      </c>
      <c r="D316" t="s">
        <v>15</v>
      </c>
      <c r="E316" t="s">
        <v>686</v>
      </c>
      <c r="F316" s="3" t="s">
        <v>16</v>
      </c>
      <c r="G316" s="3" t="s">
        <v>16</v>
      </c>
      <c r="H316" t="s">
        <v>22</v>
      </c>
      <c r="I316" t="s">
        <v>23</v>
      </c>
      <c r="J316">
        <v>12305000</v>
      </c>
      <c r="K316" t="s">
        <v>102</v>
      </c>
      <c r="L316" t="s">
        <v>15</v>
      </c>
      <c r="M316" s="1">
        <f>Data_Caso_Propuesto[[#This Row],[Precio]]</f>
        <v>12305000</v>
      </c>
      <c r="N316" s="1" t="str">
        <f>IFERROR(Data_Caso_Propuesto[[#This Row],[Precio]]/Data_Caso_Propuesto[[#This Row],[Area Terreno]],"")</f>
        <v/>
      </c>
      <c r="O316" s="1" t="str">
        <f>IFERROR((Data_Caso_Propuesto[[#This Row],[Precio]]/Data_Caso_Propuesto[[#This Row],[Area Terreno]])/1000000,"")</f>
        <v/>
      </c>
      <c r="P316" s="1"/>
    </row>
    <row r="317" spans="1:16" x14ac:dyDescent="0.25">
      <c r="A317" t="s">
        <v>687</v>
      </c>
      <c r="B317" t="s">
        <v>93</v>
      </c>
      <c r="C317" t="s">
        <v>45</v>
      </c>
      <c r="D317" t="s">
        <v>15</v>
      </c>
      <c r="E317" t="s">
        <v>688</v>
      </c>
      <c r="F317" s="3" t="s">
        <v>16</v>
      </c>
      <c r="G317" s="3" t="s">
        <v>16</v>
      </c>
      <c r="H317" t="s">
        <v>22</v>
      </c>
      <c r="I317" t="s">
        <v>23</v>
      </c>
      <c r="J317">
        <v>12305000</v>
      </c>
      <c r="K317" t="s">
        <v>102</v>
      </c>
      <c r="L317" t="s">
        <v>15</v>
      </c>
      <c r="M317" s="1">
        <f>Data_Caso_Propuesto[[#This Row],[Precio]]</f>
        <v>12305000</v>
      </c>
      <c r="N317" s="1" t="str">
        <f>IFERROR(Data_Caso_Propuesto[[#This Row],[Precio]]/Data_Caso_Propuesto[[#This Row],[Area Terreno]],"")</f>
        <v/>
      </c>
      <c r="O317" s="1" t="str">
        <f>IFERROR((Data_Caso_Propuesto[[#This Row],[Precio]]/Data_Caso_Propuesto[[#This Row],[Area Terreno]])/1000000,"")</f>
        <v/>
      </c>
      <c r="P317" s="1"/>
    </row>
    <row r="318" spans="1:16" x14ac:dyDescent="0.25">
      <c r="A318" t="s">
        <v>689</v>
      </c>
      <c r="B318" t="s">
        <v>93</v>
      </c>
      <c r="C318" t="s">
        <v>45</v>
      </c>
      <c r="D318" t="s">
        <v>15</v>
      </c>
      <c r="E318" t="s">
        <v>690</v>
      </c>
      <c r="F318" s="3" t="s">
        <v>16</v>
      </c>
      <c r="G318" s="3" t="s">
        <v>16</v>
      </c>
      <c r="H318" t="s">
        <v>22</v>
      </c>
      <c r="I318" t="s">
        <v>23</v>
      </c>
      <c r="J318">
        <v>12305000</v>
      </c>
      <c r="K318" t="s">
        <v>102</v>
      </c>
      <c r="L318" t="s">
        <v>15</v>
      </c>
      <c r="M318" s="1">
        <f>Data_Caso_Propuesto[[#This Row],[Precio]]</f>
        <v>12305000</v>
      </c>
      <c r="N318" s="1" t="str">
        <f>IFERROR(Data_Caso_Propuesto[[#This Row],[Precio]]/Data_Caso_Propuesto[[#This Row],[Area Terreno]],"")</f>
        <v/>
      </c>
      <c r="O318" s="1" t="str">
        <f>IFERROR((Data_Caso_Propuesto[[#This Row],[Precio]]/Data_Caso_Propuesto[[#This Row],[Area Terreno]])/1000000,"")</f>
        <v/>
      </c>
      <c r="P318" s="1"/>
    </row>
    <row r="319" spans="1:16" x14ac:dyDescent="0.25">
      <c r="A319" t="s">
        <v>691</v>
      </c>
      <c r="B319" t="s">
        <v>93</v>
      </c>
      <c r="C319" t="s">
        <v>45</v>
      </c>
      <c r="D319" t="s">
        <v>15</v>
      </c>
      <c r="E319" t="s">
        <v>692</v>
      </c>
      <c r="F319" s="3" t="s">
        <v>16</v>
      </c>
      <c r="G319" s="3" t="s">
        <v>16</v>
      </c>
      <c r="H319" t="s">
        <v>22</v>
      </c>
      <c r="I319" t="s">
        <v>23</v>
      </c>
      <c r="J319">
        <v>12305000</v>
      </c>
      <c r="K319" t="s">
        <v>102</v>
      </c>
      <c r="L319" t="s">
        <v>15</v>
      </c>
      <c r="M319" s="1">
        <f>Data_Caso_Propuesto[[#This Row],[Precio]]</f>
        <v>12305000</v>
      </c>
      <c r="N319" s="1" t="str">
        <f>IFERROR(Data_Caso_Propuesto[[#This Row],[Precio]]/Data_Caso_Propuesto[[#This Row],[Area Terreno]],"")</f>
        <v/>
      </c>
      <c r="O319" s="1" t="str">
        <f>IFERROR((Data_Caso_Propuesto[[#This Row],[Precio]]/Data_Caso_Propuesto[[#This Row],[Area Terreno]])/1000000,"")</f>
        <v/>
      </c>
      <c r="P319" s="1"/>
    </row>
    <row r="320" spans="1:16" x14ac:dyDescent="0.25">
      <c r="A320" t="s">
        <v>693</v>
      </c>
      <c r="B320" t="s">
        <v>93</v>
      </c>
      <c r="C320" t="s">
        <v>45</v>
      </c>
      <c r="D320" t="s">
        <v>15</v>
      </c>
      <c r="E320" t="s">
        <v>694</v>
      </c>
      <c r="F320" s="3" t="s">
        <v>16</v>
      </c>
      <c r="G320" s="3" t="s">
        <v>16</v>
      </c>
      <c r="H320" t="s">
        <v>22</v>
      </c>
      <c r="I320" t="s">
        <v>23</v>
      </c>
      <c r="J320">
        <v>12305000</v>
      </c>
      <c r="K320" t="s">
        <v>102</v>
      </c>
      <c r="L320" t="s">
        <v>15</v>
      </c>
      <c r="M320" s="1">
        <f>Data_Caso_Propuesto[[#This Row],[Precio]]</f>
        <v>12305000</v>
      </c>
      <c r="N320" s="1" t="str">
        <f>IFERROR(Data_Caso_Propuesto[[#This Row],[Precio]]/Data_Caso_Propuesto[[#This Row],[Area Terreno]],"")</f>
        <v/>
      </c>
      <c r="O320" s="1" t="str">
        <f>IFERROR((Data_Caso_Propuesto[[#This Row],[Precio]]/Data_Caso_Propuesto[[#This Row],[Area Terreno]])/1000000,"")</f>
        <v/>
      </c>
      <c r="P320" s="1"/>
    </row>
    <row r="321" spans="1:16" x14ac:dyDescent="0.25">
      <c r="A321" t="s">
        <v>695</v>
      </c>
      <c r="B321" t="s">
        <v>93</v>
      </c>
      <c r="C321" t="s">
        <v>45</v>
      </c>
      <c r="D321" t="s">
        <v>15</v>
      </c>
      <c r="E321" t="s">
        <v>696</v>
      </c>
      <c r="F321" s="3" t="s">
        <v>16</v>
      </c>
      <c r="G321" s="3" t="s">
        <v>16</v>
      </c>
      <c r="H321" t="s">
        <v>22</v>
      </c>
      <c r="I321" t="s">
        <v>23</v>
      </c>
      <c r="J321">
        <v>12305000</v>
      </c>
      <c r="K321" t="s">
        <v>102</v>
      </c>
      <c r="L321" t="s">
        <v>15</v>
      </c>
      <c r="M321" s="1">
        <f>Data_Caso_Propuesto[[#This Row],[Precio]]</f>
        <v>12305000</v>
      </c>
      <c r="N321" s="1" t="str">
        <f>IFERROR(Data_Caso_Propuesto[[#This Row],[Precio]]/Data_Caso_Propuesto[[#This Row],[Area Terreno]],"")</f>
        <v/>
      </c>
      <c r="O321" s="1" t="str">
        <f>IFERROR((Data_Caso_Propuesto[[#This Row],[Precio]]/Data_Caso_Propuesto[[#This Row],[Area Terreno]])/1000000,"")</f>
        <v/>
      </c>
      <c r="P321" s="1"/>
    </row>
    <row r="322" spans="1:16" x14ac:dyDescent="0.25">
      <c r="A322" t="s">
        <v>697</v>
      </c>
      <c r="B322" t="s">
        <v>93</v>
      </c>
      <c r="C322" t="s">
        <v>45</v>
      </c>
      <c r="D322" t="s">
        <v>15</v>
      </c>
      <c r="E322" t="s">
        <v>698</v>
      </c>
      <c r="F322" s="3" t="s">
        <v>16</v>
      </c>
      <c r="G322" s="3" t="s">
        <v>16</v>
      </c>
      <c r="H322" t="s">
        <v>22</v>
      </c>
      <c r="I322" t="s">
        <v>23</v>
      </c>
      <c r="J322">
        <v>12305000</v>
      </c>
      <c r="K322" t="s">
        <v>102</v>
      </c>
      <c r="L322" t="s">
        <v>15</v>
      </c>
      <c r="M322" s="1">
        <f>Data_Caso_Propuesto[[#This Row],[Precio]]</f>
        <v>12305000</v>
      </c>
      <c r="N322" s="1" t="str">
        <f>IFERROR(Data_Caso_Propuesto[[#This Row],[Precio]]/Data_Caso_Propuesto[[#This Row],[Area Terreno]],"")</f>
        <v/>
      </c>
      <c r="O322" s="1" t="str">
        <f>IFERROR((Data_Caso_Propuesto[[#This Row],[Precio]]/Data_Caso_Propuesto[[#This Row],[Area Terreno]])/1000000,"")</f>
        <v/>
      </c>
      <c r="P322" s="1"/>
    </row>
    <row r="323" spans="1:16" x14ac:dyDescent="0.25">
      <c r="A323" t="s">
        <v>699</v>
      </c>
      <c r="B323" t="s">
        <v>93</v>
      </c>
      <c r="C323" t="s">
        <v>45</v>
      </c>
      <c r="D323" t="s">
        <v>15</v>
      </c>
      <c r="E323" t="s">
        <v>700</v>
      </c>
      <c r="F323" s="3" t="s">
        <v>16</v>
      </c>
      <c r="G323" s="3" t="s">
        <v>16</v>
      </c>
      <c r="H323" t="s">
        <v>22</v>
      </c>
      <c r="I323" t="s">
        <v>23</v>
      </c>
      <c r="J323">
        <v>12305000</v>
      </c>
      <c r="K323" t="s">
        <v>102</v>
      </c>
      <c r="L323" t="s">
        <v>15</v>
      </c>
      <c r="M323" s="1">
        <f>Data_Caso_Propuesto[[#This Row],[Precio]]</f>
        <v>12305000</v>
      </c>
      <c r="N323" s="1" t="str">
        <f>IFERROR(Data_Caso_Propuesto[[#This Row],[Precio]]/Data_Caso_Propuesto[[#This Row],[Area Terreno]],"")</f>
        <v/>
      </c>
      <c r="O323" s="1" t="str">
        <f>IFERROR((Data_Caso_Propuesto[[#This Row],[Precio]]/Data_Caso_Propuesto[[#This Row],[Area Terreno]])/1000000,"")</f>
        <v/>
      </c>
      <c r="P323" s="1"/>
    </row>
    <row r="324" spans="1:16" x14ac:dyDescent="0.25">
      <c r="A324" t="s">
        <v>701</v>
      </c>
      <c r="B324" t="s">
        <v>93</v>
      </c>
      <c r="C324" t="s">
        <v>45</v>
      </c>
      <c r="D324" t="s">
        <v>15</v>
      </c>
      <c r="E324" t="s">
        <v>702</v>
      </c>
      <c r="F324" s="3" t="s">
        <v>16</v>
      </c>
      <c r="G324" s="3" t="s">
        <v>16</v>
      </c>
      <c r="H324" t="s">
        <v>22</v>
      </c>
      <c r="I324" t="s">
        <v>23</v>
      </c>
      <c r="J324">
        <v>12305000</v>
      </c>
      <c r="K324" t="s">
        <v>102</v>
      </c>
      <c r="L324" t="s">
        <v>15</v>
      </c>
      <c r="M324" s="1">
        <f>Data_Caso_Propuesto[[#This Row],[Precio]]</f>
        <v>12305000</v>
      </c>
      <c r="N324" s="1" t="str">
        <f>IFERROR(Data_Caso_Propuesto[[#This Row],[Precio]]/Data_Caso_Propuesto[[#This Row],[Area Terreno]],"")</f>
        <v/>
      </c>
      <c r="O324" s="1" t="str">
        <f>IFERROR((Data_Caso_Propuesto[[#This Row],[Precio]]/Data_Caso_Propuesto[[#This Row],[Area Terreno]])/1000000,"")</f>
        <v/>
      </c>
      <c r="P324" s="1"/>
    </row>
    <row r="325" spans="1:16" x14ac:dyDescent="0.25">
      <c r="A325" t="s">
        <v>703</v>
      </c>
      <c r="B325" t="s">
        <v>93</v>
      </c>
      <c r="C325" t="s">
        <v>45</v>
      </c>
      <c r="D325" t="s">
        <v>15</v>
      </c>
      <c r="E325" t="s">
        <v>704</v>
      </c>
      <c r="F325" s="3" t="s">
        <v>16</v>
      </c>
      <c r="G325" s="3" t="s">
        <v>16</v>
      </c>
      <c r="H325" t="s">
        <v>22</v>
      </c>
      <c r="I325" t="s">
        <v>23</v>
      </c>
      <c r="J325">
        <v>12305000</v>
      </c>
      <c r="K325" t="s">
        <v>102</v>
      </c>
      <c r="L325" t="s">
        <v>15</v>
      </c>
      <c r="M325" s="1">
        <f>Data_Caso_Propuesto[[#This Row],[Precio]]</f>
        <v>12305000</v>
      </c>
      <c r="N325" s="1" t="str">
        <f>IFERROR(Data_Caso_Propuesto[[#This Row],[Precio]]/Data_Caso_Propuesto[[#This Row],[Area Terreno]],"")</f>
        <v/>
      </c>
      <c r="O325" s="1" t="str">
        <f>IFERROR((Data_Caso_Propuesto[[#This Row],[Precio]]/Data_Caso_Propuesto[[#This Row],[Area Terreno]])/1000000,"")</f>
        <v/>
      </c>
      <c r="P325" s="1"/>
    </row>
    <row r="326" spans="1:16" x14ac:dyDescent="0.25">
      <c r="A326" t="s">
        <v>705</v>
      </c>
      <c r="B326" t="s">
        <v>93</v>
      </c>
      <c r="C326" t="s">
        <v>45</v>
      </c>
      <c r="D326" t="s">
        <v>15</v>
      </c>
      <c r="E326" t="s">
        <v>706</v>
      </c>
      <c r="F326" s="3" t="s">
        <v>16</v>
      </c>
      <c r="G326" s="3" t="s">
        <v>16</v>
      </c>
      <c r="H326" t="s">
        <v>22</v>
      </c>
      <c r="I326" t="s">
        <v>23</v>
      </c>
      <c r="J326">
        <v>12305000</v>
      </c>
      <c r="K326" t="s">
        <v>102</v>
      </c>
      <c r="L326" t="s">
        <v>15</v>
      </c>
      <c r="M326" s="1">
        <f>Data_Caso_Propuesto[[#This Row],[Precio]]</f>
        <v>12305000</v>
      </c>
      <c r="N326" s="1" t="str">
        <f>IFERROR(Data_Caso_Propuesto[[#This Row],[Precio]]/Data_Caso_Propuesto[[#This Row],[Area Terreno]],"")</f>
        <v/>
      </c>
      <c r="O326" s="1" t="str">
        <f>IFERROR((Data_Caso_Propuesto[[#This Row],[Precio]]/Data_Caso_Propuesto[[#This Row],[Area Terreno]])/1000000,"")</f>
        <v/>
      </c>
      <c r="P326" s="1"/>
    </row>
    <row r="327" spans="1:16" x14ac:dyDescent="0.25">
      <c r="A327" t="s">
        <v>707</v>
      </c>
      <c r="B327" t="s">
        <v>93</v>
      </c>
      <c r="C327" t="s">
        <v>45</v>
      </c>
      <c r="D327" t="s">
        <v>15</v>
      </c>
      <c r="E327" t="s">
        <v>708</v>
      </c>
      <c r="F327" s="3" t="s">
        <v>16</v>
      </c>
      <c r="G327" s="3" t="s">
        <v>16</v>
      </c>
      <c r="H327" t="s">
        <v>22</v>
      </c>
      <c r="I327" t="s">
        <v>23</v>
      </c>
      <c r="J327">
        <v>12305000</v>
      </c>
      <c r="K327" t="s">
        <v>102</v>
      </c>
      <c r="L327" t="s">
        <v>15</v>
      </c>
      <c r="M327" s="1">
        <f>Data_Caso_Propuesto[[#This Row],[Precio]]</f>
        <v>12305000</v>
      </c>
      <c r="N327" s="1" t="str">
        <f>IFERROR(Data_Caso_Propuesto[[#This Row],[Precio]]/Data_Caso_Propuesto[[#This Row],[Area Terreno]],"")</f>
        <v/>
      </c>
      <c r="O327" s="1" t="str">
        <f>IFERROR((Data_Caso_Propuesto[[#This Row],[Precio]]/Data_Caso_Propuesto[[#This Row],[Area Terreno]])/1000000,"")</f>
        <v/>
      </c>
      <c r="P327" s="1"/>
    </row>
    <row r="328" spans="1:16" x14ac:dyDescent="0.25">
      <c r="A328" t="s">
        <v>709</v>
      </c>
      <c r="B328" t="s">
        <v>93</v>
      </c>
      <c r="C328" t="s">
        <v>45</v>
      </c>
      <c r="D328" t="s">
        <v>15</v>
      </c>
      <c r="E328" t="s">
        <v>710</v>
      </c>
      <c r="F328" s="3" t="s">
        <v>16</v>
      </c>
      <c r="G328" s="3" t="s">
        <v>16</v>
      </c>
      <c r="H328" t="s">
        <v>22</v>
      </c>
      <c r="I328" t="s">
        <v>23</v>
      </c>
      <c r="J328">
        <v>12305000</v>
      </c>
      <c r="K328" t="s">
        <v>102</v>
      </c>
      <c r="L328" t="s">
        <v>15</v>
      </c>
      <c r="M328" s="1">
        <f>Data_Caso_Propuesto[[#This Row],[Precio]]</f>
        <v>12305000</v>
      </c>
      <c r="N328" s="1" t="str">
        <f>IFERROR(Data_Caso_Propuesto[[#This Row],[Precio]]/Data_Caso_Propuesto[[#This Row],[Area Terreno]],"")</f>
        <v/>
      </c>
      <c r="O328" s="1" t="str">
        <f>IFERROR((Data_Caso_Propuesto[[#This Row],[Precio]]/Data_Caso_Propuesto[[#This Row],[Area Terreno]])/1000000,"")</f>
        <v/>
      </c>
      <c r="P328" s="1"/>
    </row>
    <row r="329" spans="1:16" x14ac:dyDescent="0.25">
      <c r="A329" t="s">
        <v>711</v>
      </c>
      <c r="B329" t="s">
        <v>93</v>
      </c>
      <c r="C329" t="s">
        <v>45</v>
      </c>
      <c r="D329" t="s">
        <v>15</v>
      </c>
      <c r="E329" t="s">
        <v>712</v>
      </c>
      <c r="F329" s="3" t="s">
        <v>16</v>
      </c>
      <c r="G329" s="3" t="s">
        <v>16</v>
      </c>
      <c r="H329" t="s">
        <v>22</v>
      </c>
      <c r="I329" t="s">
        <v>23</v>
      </c>
      <c r="J329">
        <v>12305000</v>
      </c>
      <c r="K329" t="s">
        <v>102</v>
      </c>
      <c r="L329" t="s">
        <v>15</v>
      </c>
      <c r="M329" s="1">
        <f>Data_Caso_Propuesto[[#This Row],[Precio]]</f>
        <v>12305000</v>
      </c>
      <c r="N329" s="1" t="str">
        <f>IFERROR(Data_Caso_Propuesto[[#This Row],[Precio]]/Data_Caso_Propuesto[[#This Row],[Area Terreno]],"")</f>
        <v/>
      </c>
      <c r="O329" s="1" t="str">
        <f>IFERROR((Data_Caso_Propuesto[[#This Row],[Precio]]/Data_Caso_Propuesto[[#This Row],[Area Terreno]])/1000000,"")</f>
        <v/>
      </c>
      <c r="P329" s="1"/>
    </row>
    <row r="330" spans="1:16" x14ac:dyDescent="0.25">
      <c r="A330" t="s">
        <v>713</v>
      </c>
      <c r="B330" t="s">
        <v>93</v>
      </c>
      <c r="C330" t="s">
        <v>45</v>
      </c>
      <c r="D330" t="s">
        <v>15</v>
      </c>
      <c r="E330" t="s">
        <v>714</v>
      </c>
      <c r="F330" s="3" t="s">
        <v>16</v>
      </c>
      <c r="G330" s="3" t="s">
        <v>16</v>
      </c>
      <c r="H330" t="s">
        <v>22</v>
      </c>
      <c r="I330" t="s">
        <v>23</v>
      </c>
      <c r="J330">
        <v>12305000</v>
      </c>
      <c r="K330" t="s">
        <v>102</v>
      </c>
      <c r="L330" t="s">
        <v>15</v>
      </c>
      <c r="M330" s="1">
        <f>Data_Caso_Propuesto[[#This Row],[Precio]]</f>
        <v>12305000</v>
      </c>
      <c r="N330" s="1" t="str">
        <f>IFERROR(Data_Caso_Propuesto[[#This Row],[Precio]]/Data_Caso_Propuesto[[#This Row],[Area Terreno]],"")</f>
        <v/>
      </c>
      <c r="O330" s="1" t="str">
        <f>IFERROR((Data_Caso_Propuesto[[#This Row],[Precio]]/Data_Caso_Propuesto[[#This Row],[Area Terreno]])/1000000,"")</f>
        <v/>
      </c>
      <c r="P330" s="1"/>
    </row>
    <row r="331" spans="1:16" x14ac:dyDescent="0.25">
      <c r="A331" t="s">
        <v>715</v>
      </c>
      <c r="B331" t="s">
        <v>93</v>
      </c>
      <c r="C331" t="s">
        <v>45</v>
      </c>
      <c r="D331" t="s">
        <v>15</v>
      </c>
      <c r="E331" t="s">
        <v>716</v>
      </c>
      <c r="F331" s="3" t="s">
        <v>16</v>
      </c>
      <c r="G331" s="3" t="s">
        <v>16</v>
      </c>
      <c r="H331" t="s">
        <v>22</v>
      </c>
      <c r="I331" t="s">
        <v>23</v>
      </c>
      <c r="J331">
        <v>12305000</v>
      </c>
      <c r="K331" t="s">
        <v>102</v>
      </c>
      <c r="L331" t="s">
        <v>15</v>
      </c>
      <c r="M331" s="1">
        <f>Data_Caso_Propuesto[[#This Row],[Precio]]</f>
        <v>12305000</v>
      </c>
      <c r="N331" s="1" t="str">
        <f>IFERROR(Data_Caso_Propuesto[[#This Row],[Precio]]/Data_Caso_Propuesto[[#This Row],[Area Terreno]],"")</f>
        <v/>
      </c>
      <c r="O331" s="1" t="str">
        <f>IFERROR((Data_Caso_Propuesto[[#This Row],[Precio]]/Data_Caso_Propuesto[[#This Row],[Area Terreno]])/1000000,"")</f>
        <v/>
      </c>
      <c r="P331" s="1"/>
    </row>
    <row r="332" spans="1:16" x14ac:dyDescent="0.25">
      <c r="A332" t="s">
        <v>717</v>
      </c>
      <c r="B332" t="s">
        <v>93</v>
      </c>
      <c r="C332" t="s">
        <v>45</v>
      </c>
      <c r="D332" t="s">
        <v>15</v>
      </c>
      <c r="E332" t="s">
        <v>718</v>
      </c>
      <c r="F332" s="3" t="s">
        <v>16</v>
      </c>
      <c r="G332" s="3" t="s">
        <v>16</v>
      </c>
      <c r="H332" t="s">
        <v>22</v>
      </c>
      <c r="I332" t="s">
        <v>23</v>
      </c>
      <c r="J332">
        <v>12305000</v>
      </c>
      <c r="K332" t="s">
        <v>102</v>
      </c>
      <c r="L332" t="s">
        <v>15</v>
      </c>
      <c r="M332" s="1">
        <f>Data_Caso_Propuesto[[#This Row],[Precio]]</f>
        <v>12305000</v>
      </c>
      <c r="N332" s="1" t="str">
        <f>IFERROR(Data_Caso_Propuesto[[#This Row],[Precio]]/Data_Caso_Propuesto[[#This Row],[Area Terreno]],"")</f>
        <v/>
      </c>
      <c r="O332" s="1" t="str">
        <f>IFERROR((Data_Caso_Propuesto[[#This Row],[Precio]]/Data_Caso_Propuesto[[#This Row],[Area Terreno]])/1000000,"")</f>
        <v/>
      </c>
      <c r="P332" s="1"/>
    </row>
    <row r="333" spans="1:16" x14ac:dyDescent="0.25">
      <c r="A333" t="s">
        <v>719</v>
      </c>
      <c r="B333" t="s">
        <v>93</v>
      </c>
      <c r="C333" t="s">
        <v>45</v>
      </c>
      <c r="D333" t="s">
        <v>15</v>
      </c>
      <c r="E333" t="s">
        <v>720</v>
      </c>
      <c r="F333" s="3" t="s">
        <v>16</v>
      </c>
      <c r="G333" s="3" t="s">
        <v>16</v>
      </c>
      <c r="H333" t="s">
        <v>22</v>
      </c>
      <c r="I333" t="s">
        <v>23</v>
      </c>
      <c r="J333">
        <v>12305000</v>
      </c>
      <c r="K333" t="s">
        <v>102</v>
      </c>
      <c r="L333" t="s">
        <v>15</v>
      </c>
      <c r="M333" s="1">
        <f>Data_Caso_Propuesto[[#This Row],[Precio]]</f>
        <v>12305000</v>
      </c>
      <c r="N333" s="1" t="str">
        <f>IFERROR(Data_Caso_Propuesto[[#This Row],[Precio]]/Data_Caso_Propuesto[[#This Row],[Area Terreno]],"")</f>
        <v/>
      </c>
      <c r="O333" s="1" t="str">
        <f>IFERROR((Data_Caso_Propuesto[[#This Row],[Precio]]/Data_Caso_Propuesto[[#This Row],[Area Terreno]])/1000000,"")</f>
        <v/>
      </c>
      <c r="P333" s="1"/>
    </row>
    <row r="334" spans="1:16" x14ac:dyDescent="0.25">
      <c r="A334" t="s">
        <v>721</v>
      </c>
      <c r="B334" t="s">
        <v>93</v>
      </c>
      <c r="C334" t="s">
        <v>45</v>
      </c>
      <c r="D334" t="s">
        <v>15</v>
      </c>
      <c r="E334" t="s">
        <v>722</v>
      </c>
      <c r="F334" s="3" t="s">
        <v>16</v>
      </c>
      <c r="G334" s="3" t="s">
        <v>16</v>
      </c>
      <c r="H334" t="s">
        <v>22</v>
      </c>
      <c r="I334" t="s">
        <v>23</v>
      </c>
      <c r="J334">
        <v>12305000</v>
      </c>
      <c r="K334" t="s">
        <v>102</v>
      </c>
      <c r="L334" t="s">
        <v>15</v>
      </c>
      <c r="M334" s="1">
        <f>Data_Caso_Propuesto[[#This Row],[Precio]]</f>
        <v>12305000</v>
      </c>
      <c r="N334" s="1" t="str">
        <f>IFERROR(Data_Caso_Propuesto[[#This Row],[Precio]]/Data_Caso_Propuesto[[#This Row],[Area Terreno]],"")</f>
        <v/>
      </c>
      <c r="O334" s="1" t="str">
        <f>IFERROR((Data_Caso_Propuesto[[#This Row],[Precio]]/Data_Caso_Propuesto[[#This Row],[Area Terreno]])/1000000,"")</f>
        <v/>
      </c>
      <c r="P334" s="1"/>
    </row>
    <row r="335" spans="1:16" x14ac:dyDescent="0.25">
      <c r="A335" t="s">
        <v>723</v>
      </c>
      <c r="B335" t="s">
        <v>93</v>
      </c>
      <c r="C335" t="s">
        <v>45</v>
      </c>
      <c r="D335" t="s">
        <v>15</v>
      </c>
      <c r="E335" t="s">
        <v>724</v>
      </c>
      <c r="F335" s="3" t="s">
        <v>16</v>
      </c>
      <c r="G335" s="3" t="s">
        <v>16</v>
      </c>
      <c r="H335" t="s">
        <v>22</v>
      </c>
      <c r="I335" t="s">
        <v>23</v>
      </c>
      <c r="J335">
        <v>12305000</v>
      </c>
      <c r="K335" t="s">
        <v>102</v>
      </c>
      <c r="L335" t="s">
        <v>15</v>
      </c>
      <c r="M335" s="1">
        <f>Data_Caso_Propuesto[[#This Row],[Precio]]</f>
        <v>12305000</v>
      </c>
      <c r="N335" s="1" t="str">
        <f>IFERROR(Data_Caso_Propuesto[[#This Row],[Precio]]/Data_Caso_Propuesto[[#This Row],[Area Terreno]],"")</f>
        <v/>
      </c>
      <c r="O335" s="1" t="str">
        <f>IFERROR((Data_Caso_Propuesto[[#This Row],[Precio]]/Data_Caso_Propuesto[[#This Row],[Area Terreno]])/1000000,"")</f>
        <v/>
      </c>
      <c r="P335" s="1"/>
    </row>
    <row r="336" spans="1:16" x14ac:dyDescent="0.25">
      <c r="A336" t="s">
        <v>725</v>
      </c>
      <c r="B336" t="s">
        <v>93</v>
      </c>
      <c r="C336" t="s">
        <v>45</v>
      </c>
      <c r="D336" t="s">
        <v>15</v>
      </c>
      <c r="E336" t="s">
        <v>726</v>
      </c>
      <c r="F336" s="3" t="s">
        <v>16</v>
      </c>
      <c r="G336" s="3" t="s">
        <v>16</v>
      </c>
      <c r="H336" t="s">
        <v>22</v>
      </c>
      <c r="I336" t="s">
        <v>23</v>
      </c>
      <c r="J336">
        <v>12305000</v>
      </c>
      <c r="K336" t="s">
        <v>102</v>
      </c>
      <c r="L336" t="s">
        <v>15</v>
      </c>
      <c r="M336" s="1">
        <f>Data_Caso_Propuesto[[#This Row],[Precio]]</f>
        <v>12305000</v>
      </c>
      <c r="N336" s="1" t="str">
        <f>IFERROR(Data_Caso_Propuesto[[#This Row],[Precio]]/Data_Caso_Propuesto[[#This Row],[Area Terreno]],"")</f>
        <v/>
      </c>
      <c r="O336" s="1" t="str">
        <f>IFERROR((Data_Caso_Propuesto[[#This Row],[Precio]]/Data_Caso_Propuesto[[#This Row],[Area Terreno]])/1000000,"")</f>
        <v/>
      </c>
      <c r="P336" s="1"/>
    </row>
    <row r="337" spans="1:16" x14ac:dyDescent="0.25">
      <c r="A337" t="s">
        <v>727</v>
      </c>
      <c r="B337" t="s">
        <v>93</v>
      </c>
      <c r="C337" t="s">
        <v>45</v>
      </c>
      <c r="D337" t="s">
        <v>15</v>
      </c>
      <c r="E337" t="s">
        <v>728</v>
      </c>
      <c r="F337" s="3" t="s">
        <v>16</v>
      </c>
      <c r="G337" s="3" t="s">
        <v>16</v>
      </c>
      <c r="H337" t="s">
        <v>22</v>
      </c>
      <c r="I337" t="s">
        <v>23</v>
      </c>
      <c r="J337">
        <v>12305000</v>
      </c>
      <c r="K337" t="s">
        <v>102</v>
      </c>
      <c r="L337" t="s">
        <v>15</v>
      </c>
      <c r="M337" s="1">
        <f>Data_Caso_Propuesto[[#This Row],[Precio]]</f>
        <v>12305000</v>
      </c>
      <c r="N337" s="1" t="str">
        <f>IFERROR(Data_Caso_Propuesto[[#This Row],[Precio]]/Data_Caso_Propuesto[[#This Row],[Area Terreno]],"")</f>
        <v/>
      </c>
      <c r="O337" s="1" t="str">
        <f>IFERROR((Data_Caso_Propuesto[[#This Row],[Precio]]/Data_Caso_Propuesto[[#This Row],[Area Terreno]])/1000000,"")</f>
        <v/>
      </c>
      <c r="P337" s="1"/>
    </row>
    <row r="338" spans="1:16" x14ac:dyDescent="0.25">
      <c r="A338" t="s">
        <v>729</v>
      </c>
      <c r="B338" t="s">
        <v>93</v>
      </c>
      <c r="C338" t="s">
        <v>45</v>
      </c>
      <c r="D338" t="s">
        <v>15</v>
      </c>
      <c r="E338" t="s">
        <v>730</v>
      </c>
      <c r="F338" s="3" t="s">
        <v>16</v>
      </c>
      <c r="G338" s="3" t="s">
        <v>16</v>
      </c>
      <c r="H338" t="s">
        <v>22</v>
      </c>
      <c r="I338" t="s">
        <v>23</v>
      </c>
      <c r="J338">
        <v>12305000</v>
      </c>
      <c r="K338" t="s">
        <v>102</v>
      </c>
      <c r="L338" t="s">
        <v>15</v>
      </c>
      <c r="M338" s="1">
        <f>Data_Caso_Propuesto[[#This Row],[Precio]]</f>
        <v>12305000</v>
      </c>
      <c r="N338" s="1" t="str">
        <f>IFERROR(Data_Caso_Propuesto[[#This Row],[Precio]]/Data_Caso_Propuesto[[#This Row],[Area Terreno]],"")</f>
        <v/>
      </c>
      <c r="O338" s="1" t="str">
        <f>IFERROR((Data_Caso_Propuesto[[#This Row],[Precio]]/Data_Caso_Propuesto[[#This Row],[Area Terreno]])/1000000,"")</f>
        <v/>
      </c>
      <c r="P338" s="1"/>
    </row>
    <row r="339" spans="1:16" x14ac:dyDescent="0.25">
      <c r="A339" t="s">
        <v>731</v>
      </c>
      <c r="B339" t="s">
        <v>93</v>
      </c>
      <c r="C339" t="s">
        <v>45</v>
      </c>
      <c r="D339" t="s">
        <v>15</v>
      </c>
      <c r="E339" t="s">
        <v>732</v>
      </c>
      <c r="F339" s="3" t="s">
        <v>16</v>
      </c>
      <c r="G339" s="3" t="s">
        <v>16</v>
      </c>
      <c r="H339" t="s">
        <v>22</v>
      </c>
      <c r="I339" t="s">
        <v>23</v>
      </c>
      <c r="J339">
        <v>12305000</v>
      </c>
      <c r="K339" t="s">
        <v>102</v>
      </c>
      <c r="L339" t="s">
        <v>15</v>
      </c>
      <c r="M339" s="1">
        <f>Data_Caso_Propuesto[[#This Row],[Precio]]</f>
        <v>12305000</v>
      </c>
      <c r="N339" s="1" t="str">
        <f>IFERROR(Data_Caso_Propuesto[[#This Row],[Precio]]/Data_Caso_Propuesto[[#This Row],[Area Terreno]],"")</f>
        <v/>
      </c>
      <c r="O339" s="1" t="str">
        <f>IFERROR((Data_Caso_Propuesto[[#This Row],[Precio]]/Data_Caso_Propuesto[[#This Row],[Area Terreno]])/1000000,"")</f>
        <v/>
      </c>
      <c r="P339" s="1"/>
    </row>
    <row r="340" spans="1:16" x14ac:dyDescent="0.25">
      <c r="A340" t="s">
        <v>733</v>
      </c>
      <c r="B340" t="s">
        <v>93</v>
      </c>
      <c r="C340" t="s">
        <v>45</v>
      </c>
      <c r="D340" t="s">
        <v>15</v>
      </c>
      <c r="E340" t="s">
        <v>734</v>
      </c>
      <c r="F340" s="3" t="s">
        <v>16</v>
      </c>
      <c r="G340" s="3" t="s">
        <v>16</v>
      </c>
      <c r="H340" t="s">
        <v>22</v>
      </c>
      <c r="I340" t="s">
        <v>23</v>
      </c>
      <c r="J340">
        <v>12305000</v>
      </c>
      <c r="K340" t="s">
        <v>102</v>
      </c>
      <c r="L340" t="s">
        <v>15</v>
      </c>
      <c r="M340" s="1">
        <f>Data_Caso_Propuesto[[#This Row],[Precio]]</f>
        <v>12305000</v>
      </c>
      <c r="N340" s="1" t="str">
        <f>IFERROR(Data_Caso_Propuesto[[#This Row],[Precio]]/Data_Caso_Propuesto[[#This Row],[Area Terreno]],"")</f>
        <v/>
      </c>
      <c r="O340" s="1" t="str">
        <f>IFERROR((Data_Caso_Propuesto[[#This Row],[Precio]]/Data_Caso_Propuesto[[#This Row],[Area Terreno]])/1000000,"")</f>
        <v/>
      </c>
      <c r="P340" s="1"/>
    </row>
    <row r="341" spans="1:16" x14ac:dyDescent="0.25">
      <c r="A341" t="s">
        <v>735</v>
      </c>
      <c r="B341" t="s">
        <v>93</v>
      </c>
      <c r="C341" t="s">
        <v>45</v>
      </c>
      <c r="D341" t="s">
        <v>15</v>
      </c>
      <c r="E341" t="s">
        <v>736</v>
      </c>
      <c r="F341" s="3" t="s">
        <v>16</v>
      </c>
      <c r="G341" s="3" t="s">
        <v>16</v>
      </c>
      <c r="H341" t="s">
        <v>77</v>
      </c>
      <c r="I341" t="s">
        <v>23</v>
      </c>
      <c r="J341">
        <v>12305000</v>
      </c>
      <c r="K341" t="s">
        <v>102</v>
      </c>
      <c r="L341" t="s">
        <v>15</v>
      </c>
      <c r="M341" s="1">
        <f>Data_Caso_Propuesto[[#This Row],[Precio]]</f>
        <v>12305000</v>
      </c>
      <c r="N341" s="1" t="str">
        <f>IFERROR(Data_Caso_Propuesto[[#This Row],[Precio]]/Data_Caso_Propuesto[[#This Row],[Area Terreno]],"")</f>
        <v/>
      </c>
      <c r="O341" s="1" t="str">
        <f>IFERROR((Data_Caso_Propuesto[[#This Row],[Precio]]/Data_Caso_Propuesto[[#This Row],[Area Terreno]])/1000000,"")</f>
        <v/>
      </c>
      <c r="P341" s="1"/>
    </row>
    <row r="342" spans="1:16" x14ac:dyDescent="0.25">
      <c r="A342" t="s">
        <v>737</v>
      </c>
      <c r="B342" t="s">
        <v>93</v>
      </c>
      <c r="C342" t="s">
        <v>45</v>
      </c>
      <c r="D342" t="s">
        <v>15</v>
      </c>
      <c r="E342" t="s">
        <v>738</v>
      </c>
      <c r="F342" s="3" t="s">
        <v>16</v>
      </c>
      <c r="G342" s="3" t="s">
        <v>16</v>
      </c>
      <c r="H342" t="s">
        <v>22</v>
      </c>
      <c r="I342" t="s">
        <v>23</v>
      </c>
      <c r="J342">
        <v>12305000</v>
      </c>
      <c r="K342" t="s">
        <v>102</v>
      </c>
      <c r="L342" t="s">
        <v>15</v>
      </c>
      <c r="M342" s="1">
        <f>Data_Caso_Propuesto[[#This Row],[Precio]]</f>
        <v>12305000</v>
      </c>
      <c r="N342" s="1" t="str">
        <f>IFERROR(Data_Caso_Propuesto[[#This Row],[Precio]]/Data_Caso_Propuesto[[#This Row],[Area Terreno]],"")</f>
        <v/>
      </c>
      <c r="O342" s="1" t="str">
        <f>IFERROR((Data_Caso_Propuesto[[#This Row],[Precio]]/Data_Caso_Propuesto[[#This Row],[Area Terreno]])/1000000,"")</f>
        <v/>
      </c>
      <c r="P342" s="1"/>
    </row>
    <row r="343" spans="1:16" x14ac:dyDescent="0.25">
      <c r="A343" t="s">
        <v>739</v>
      </c>
      <c r="B343" t="s">
        <v>93</v>
      </c>
      <c r="C343" t="s">
        <v>45</v>
      </c>
      <c r="D343" t="s">
        <v>15</v>
      </c>
      <c r="E343" t="s">
        <v>740</v>
      </c>
      <c r="F343" s="3" t="s">
        <v>16</v>
      </c>
      <c r="G343" s="3" t="s">
        <v>16</v>
      </c>
      <c r="H343" t="s">
        <v>22</v>
      </c>
      <c r="I343" t="s">
        <v>23</v>
      </c>
      <c r="J343">
        <v>12305000</v>
      </c>
      <c r="K343" t="s">
        <v>102</v>
      </c>
      <c r="L343" t="s">
        <v>15</v>
      </c>
      <c r="M343" s="1">
        <f>Data_Caso_Propuesto[[#This Row],[Precio]]</f>
        <v>12305000</v>
      </c>
      <c r="N343" s="1" t="str">
        <f>IFERROR(Data_Caso_Propuesto[[#This Row],[Precio]]/Data_Caso_Propuesto[[#This Row],[Area Terreno]],"")</f>
        <v/>
      </c>
      <c r="O343" s="1" t="str">
        <f>IFERROR((Data_Caso_Propuesto[[#This Row],[Precio]]/Data_Caso_Propuesto[[#This Row],[Area Terreno]])/1000000,"")</f>
        <v/>
      </c>
      <c r="P343" s="1"/>
    </row>
    <row r="344" spans="1:16" x14ac:dyDescent="0.25">
      <c r="A344" t="s">
        <v>741</v>
      </c>
      <c r="B344" t="s">
        <v>93</v>
      </c>
      <c r="C344" t="s">
        <v>45</v>
      </c>
      <c r="D344" t="s">
        <v>15</v>
      </c>
      <c r="E344" t="s">
        <v>742</v>
      </c>
      <c r="F344" s="3" t="s">
        <v>16</v>
      </c>
      <c r="G344" s="3" t="s">
        <v>16</v>
      </c>
      <c r="H344" t="s">
        <v>22</v>
      </c>
      <c r="I344" t="s">
        <v>23</v>
      </c>
      <c r="J344">
        <v>12305000</v>
      </c>
      <c r="K344" t="s">
        <v>102</v>
      </c>
      <c r="L344" t="s">
        <v>15</v>
      </c>
      <c r="M344" s="1">
        <f>Data_Caso_Propuesto[[#This Row],[Precio]]</f>
        <v>12305000</v>
      </c>
      <c r="N344" s="1" t="str">
        <f>IFERROR(Data_Caso_Propuesto[[#This Row],[Precio]]/Data_Caso_Propuesto[[#This Row],[Area Terreno]],"")</f>
        <v/>
      </c>
      <c r="O344" s="1" t="str">
        <f>IFERROR((Data_Caso_Propuesto[[#This Row],[Precio]]/Data_Caso_Propuesto[[#This Row],[Area Terreno]])/1000000,"")</f>
        <v/>
      </c>
      <c r="P344" s="1"/>
    </row>
    <row r="345" spans="1:16" x14ac:dyDescent="0.25">
      <c r="A345" t="s">
        <v>743</v>
      </c>
      <c r="B345" t="s">
        <v>93</v>
      </c>
      <c r="C345" t="s">
        <v>45</v>
      </c>
      <c r="D345" t="s">
        <v>15</v>
      </c>
      <c r="E345" t="s">
        <v>744</v>
      </c>
      <c r="F345" s="3" t="s">
        <v>16</v>
      </c>
      <c r="G345" s="3" t="s">
        <v>16</v>
      </c>
      <c r="H345" t="s">
        <v>22</v>
      </c>
      <c r="I345" t="s">
        <v>23</v>
      </c>
      <c r="J345">
        <v>12305000</v>
      </c>
      <c r="K345" t="s">
        <v>102</v>
      </c>
      <c r="L345" t="s">
        <v>15</v>
      </c>
      <c r="M345" s="1">
        <f>Data_Caso_Propuesto[[#This Row],[Precio]]</f>
        <v>12305000</v>
      </c>
      <c r="N345" s="1" t="str">
        <f>IFERROR(Data_Caso_Propuesto[[#This Row],[Precio]]/Data_Caso_Propuesto[[#This Row],[Area Terreno]],"")</f>
        <v/>
      </c>
      <c r="O345" s="1" t="str">
        <f>IFERROR((Data_Caso_Propuesto[[#This Row],[Precio]]/Data_Caso_Propuesto[[#This Row],[Area Terreno]])/1000000,"")</f>
        <v/>
      </c>
      <c r="P345" s="1"/>
    </row>
    <row r="346" spans="1:16" x14ac:dyDescent="0.25">
      <c r="A346" t="s">
        <v>745</v>
      </c>
      <c r="B346" t="s">
        <v>93</v>
      </c>
      <c r="C346" t="s">
        <v>45</v>
      </c>
      <c r="D346" t="s">
        <v>15</v>
      </c>
      <c r="E346" t="s">
        <v>746</v>
      </c>
      <c r="F346" s="3" t="s">
        <v>16</v>
      </c>
      <c r="G346" s="3" t="s">
        <v>16</v>
      </c>
      <c r="H346" t="s">
        <v>22</v>
      </c>
      <c r="I346" t="s">
        <v>23</v>
      </c>
      <c r="J346">
        <v>12305000</v>
      </c>
      <c r="K346" t="s">
        <v>102</v>
      </c>
      <c r="L346" t="s">
        <v>15</v>
      </c>
      <c r="M346" s="1">
        <f>Data_Caso_Propuesto[[#This Row],[Precio]]</f>
        <v>12305000</v>
      </c>
      <c r="N346" s="1" t="str">
        <f>IFERROR(Data_Caso_Propuesto[[#This Row],[Precio]]/Data_Caso_Propuesto[[#This Row],[Area Terreno]],"")</f>
        <v/>
      </c>
      <c r="O346" s="1" t="str">
        <f>IFERROR((Data_Caso_Propuesto[[#This Row],[Precio]]/Data_Caso_Propuesto[[#This Row],[Area Terreno]])/1000000,"")</f>
        <v/>
      </c>
      <c r="P346" s="1"/>
    </row>
    <row r="347" spans="1:16" x14ac:dyDescent="0.25">
      <c r="A347" t="s">
        <v>747</v>
      </c>
      <c r="B347" t="s">
        <v>93</v>
      </c>
      <c r="C347" t="s">
        <v>45</v>
      </c>
      <c r="D347" t="s">
        <v>15</v>
      </c>
      <c r="E347" t="s">
        <v>748</v>
      </c>
      <c r="F347" s="3" t="s">
        <v>16</v>
      </c>
      <c r="G347" s="3" t="s">
        <v>16</v>
      </c>
      <c r="H347" t="s">
        <v>22</v>
      </c>
      <c r="I347" t="s">
        <v>23</v>
      </c>
      <c r="J347">
        <v>12305000</v>
      </c>
      <c r="K347" t="s">
        <v>102</v>
      </c>
      <c r="L347" t="s">
        <v>15</v>
      </c>
      <c r="M347" s="1">
        <f>Data_Caso_Propuesto[[#This Row],[Precio]]</f>
        <v>12305000</v>
      </c>
      <c r="N347" s="1" t="str">
        <f>IFERROR(Data_Caso_Propuesto[[#This Row],[Precio]]/Data_Caso_Propuesto[[#This Row],[Area Terreno]],"")</f>
        <v/>
      </c>
      <c r="O347" s="1" t="str">
        <f>IFERROR((Data_Caso_Propuesto[[#This Row],[Precio]]/Data_Caso_Propuesto[[#This Row],[Area Terreno]])/1000000,"")</f>
        <v/>
      </c>
      <c r="P347" s="1"/>
    </row>
    <row r="348" spans="1:16" x14ac:dyDescent="0.25">
      <c r="A348" t="s">
        <v>749</v>
      </c>
      <c r="B348" t="s">
        <v>93</v>
      </c>
      <c r="C348" t="s">
        <v>45</v>
      </c>
      <c r="D348" t="s">
        <v>15</v>
      </c>
      <c r="E348" t="s">
        <v>750</v>
      </c>
      <c r="F348" s="3" t="s">
        <v>16</v>
      </c>
      <c r="G348" s="3" t="s">
        <v>16</v>
      </c>
      <c r="H348" t="s">
        <v>22</v>
      </c>
      <c r="I348" t="s">
        <v>23</v>
      </c>
      <c r="J348">
        <v>12305000</v>
      </c>
      <c r="K348" t="s">
        <v>102</v>
      </c>
      <c r="L348" t="s">
        <v>15</v>
      </c>
      <c r="M348" s="1">
        <f>Data_Caso_Propuesto[[#This Row],[Precio]]</f>
        <v>12305000</v>
      </c>
      <c r="N348" s="1" t="str">
        <f>IFERROR(Data_Caso_Propuesto[[#This Row],[Precio]]/Data_Caso_Propuesto[[#This Row],[Area Terreno]],"")</f>
        <v/>
      </c>
      <c r="O348" s="1" t="str">
        <f>IFERROR((Data_Caso_Propuesto[[#This Row],[Precio]]/Data_Caso_Propuesto[[#This Row],[Area Terreno]])/1000000,"")</f>
        <v/>
      </c>
      <c r="P348" s="1"/>
    </row>
    <row r="349" spans="1:16" x14ac:dyDescent="0.25">
      <c r="A349" t="s">
        <v>751</v>
      </c>
      <c r="B349" t="s">
        <v>93</v>
      </c>
      <c r="C349" t="s">
        <v>45</v>
      </c>
      <c r="D349" t="s">
        <v>15</v>
      </c>
      <c r="E349" t="s">
        <v>752</v>
      </c>
      <c r="F349" s="3" t="s">
        <v>16</v>
      </c>
      <c r="G349" s="3" t="s">
        <v>16</v>
      </c>
      <c r="H349" t="s">
        <v>22</v>
      </c>
      <c r="I349" t="s">
        <v>23</v>
      </c>
      <c r="J349">
        <v>12305000</v>
      </c>
      <c r="K349" t="s">
        <v>102</v>
      </c>
      <c r="L349" t="s">
        <v>15</v>
      </c>
      <c r="M349" s="1">
        <f>Data_Caso_Propuesto[[#This Row],[Precio]]</f>
        <v>12305000</v>
      </c>
      <c r="N349" s="1" t="str">
        <f>IFERROR(Data_Caso_Propuesto[[#This Row],[Precio]]/Data_Caso_Propuesto[[#This Row],[Area Terreno]],"")</f>
        <v/>
      </c>
      <c r="O349" s="1" t="str">
        <f>IFERROR((Data_Caso_Propuesto[[#This Row],[Precio]]/Data_Caso_Propuesto[[#This Row],[Area Terreno]])/1000000,"")</f>
        <v/>
      </c>
      <c r="P349" s="1"/>
    </row>
    <row r="350" spans="1:16" x14ac:dyDescent="0.25">
      <c r="A350" t="s">
        <v>753</v>
      </c>
      <c r="B350" t="s">
        <v>93</v>
      </c>
      <c r="C350" t="s">
        <v>45</v>
      </c>
      <c r="D350" t="s">
        <v>15</v>
      </c>
      <c r="E350" t="s">
        <v>754</v>
      </c>
      <c r="F350" s="3" t="s">
        <v>16</v>
      </c>
      <c r="G350" s="3" t="s">
        <v>16</v>
      </c>
      <c r="H350" t="s">
        <v>22</v>
      </c>
      <c r="I350" t="s">
        <v>23</v>
      </c>
      <c r="J350">
        <v>12305000</v>
      </c>
      <c r="K350" t="s">
        <v>102</v>
      </c>
      <c r="L350" t="s">
        <v>15</v>
      </c>
      <c r="M350" s="1">
        <f>Data_Caso_Propuesto[[#This Row],[Precio]]</f>
        <v>12305000</v>
      </c>
      <c r="N350" s="1" t="str">
        <f>IFERROR(Data_Caso_Propuesto[[#This Row],[Precio]]/Data_Caso_Propuesto[[#This Row],[Area Terreno]],"")</f>
        <v/>
      </c>
      <c r="O350" s="1" t="str">
        <f>IFERROR((Data_Caso_Propuesto[[#This Row],[Precio]]/Data_Caso_Propuesto[[#This Row],[Area Terreno]])/1000000,"")</f>
        <v/>
      </c>
      <c r="P350" s="1"/>
    </row>
    <row r="351" spans="1:16" x14ac:dyDescent="0.25">
      <c r="A351" t="s">
        <v>755</v>
      </c>
      <c r="B351" t="s">
        <v>93</v>
      </c>
      <c r="C351" t="s">
        <v>45</v>
      </c>
      <c r="D351" t="s">
        <v>15</v>
      </c>
      <c r="E351" t="s">
        <v>756</v>
      </c>
      <c r="F351" s="3" t="s">
        <v>16</v>
      </c>
      <c r="G351" s="3" t="s">
        <v>16</v>
      </c>
      <c r="H351" t="s">
        <v>22</v>
      </c>
      <c r="I351" t="s">
        <v>23</v>
      </c>
      <c r="J351">
        <v>12305000</v>
      </c>
      <c r="K351" t="s">
        <v>102</v>
      </c>
      <c r="L351" t="s">
        <v>15</v>
      </c>
      <c r="M351" s="1">
        <f>Data_Caso_Propuesto[[#This Row],[Precio]]</f>
        <v>12305000</v>
      </c>
      <c r="N351" s="1" t="str">
        <f>IFERROR(Data_Caso_Propuesto[[#This Row],[Precio]]/Data_Caso_Propuesto[[#This Row],[Area Terreno]],"")</f>
        <v/>
      </c>
      <c r="O351" s="1" t="str">
        <f>IFERROR((Data_Caso_Propuesto[[#This Row],[Precio]]/Data_Caso_Propuesto[[#This Row],[Area Terreno]])/1000000,"")</f>
        <v/>
      </c>
      <c r="P351" s="1"/>
    </row>
    <row r="352" spans="1:16" x14ac:dyDescent="0.25">
      <c r="A352" t="s">
        <v>757</v>
      </c>
      <c r="B352" t="s">
        <v>93</v>
      </c>
      <c r="C352" t="s">
        <v>45</v>
      </c>
      <c r="D352" t="s">
        <v>15</v>
      </c>
      <c r="E352" t="s">
        <v>758</v>
      </c>
      <c r="F352" s="3" t="s">
        <v>16</v>
      </c>
      <c r="G352" s="3" t="s">
        <v>16</v>
      </c>
      <c r="H352" t="s">
        <v>22</v>
      </c>
      <c r="I352" t="s">
        <v>23</v>
      </c>
      <c r="J352">
        <v>12305000</v>
      </c>
      <c r="K352" t="s">
        <v>102</v>
      </c>
      <c r="L352" t="s">
        <v>15</v>
      </c>
      <c r="M352" s="1">
        <f>Data_Caso_Propuesto[[#This Row],[Precio]]</f>
        <v>12305000</v>
      </c>
      <c r="N352" s="1" t="str">
        <f>IFERROR(Data_Caso_Propuesto[[#This Row],[Precio]]/Data_Caso_Propuesto[[#This Row],[Area Terreno]],"")</f>
        <v/>
      </c>
      <c r="O352" s="1" t="str">
        <f>IFERROR((Data_Caso_Propuesto[[#This Row],[Precio]]/Data_Caso_Propuesto[[#This Row],[Area Terreno]])/1000000,"")</f>
        <v/>
      </c>
      <c r="P352" s="1"/>
    </row>
    <row r="353" spans="1:16" x14ac:dyDescent="0.25">
      <c r="A353" t="s">
        <v>759</v>
      </c>
      <c r="B353" t="s">
        <v>93</v>
      </c>
      <c r="C353" t="s">
        <v>45</v>
      </c>
      <c r="D353" t="s">
        <v>15</v>
      </c>
      <c r="E353" t="s">
        <v>760</v>
      </c>
      <c r="F353" s="3" t="s">
        <v>16</v>
      </c>
      <c r="G353" s="3" t="s">
        <v>16</v>
      </c>
      <c r="H353" t="s">
        <v>22</v>
      </c>
      <c r="I353" t="s">
        <v>23</v>
      </c>
      <c r="J353">
        <v>12305000</v>
      </c>
      <c r="K353" t="s">
        <v>102</v>
      </c>
      <c r="L353" t="s">
        <v>15</v>
      </c>
      <c r="M353" s="1">
        <f>Data_Caso_Propuesto[[#This Row],[Precio]]</f>
        <v>12305000</v>
      </c>
      <c r="N353" s="1" t="str">
        <f>IFERROR(Data_Caso_Propuesto[[#This Row],[Precio]]/Data_Caso_Propuesto[[#This Row],[Area Terreno]],"")</f>
        <v/>
      </c>
      <c r="O353" s="1" t="str">
        <f>IFERROR((Data_Caso_Propuesto[[#This Row],[Precio]]/Data_Caso_Propuesto[[#This Row],[Area Terreno]])/1000000,"")</f>
        <v/>
      </c>
      <c r="P353" s="1"/>
    </row>
    <row r="354" spans="1:16" x14ac:dyDescent="0.25">
      <c r="A354" t="s">
        <v>761</v>
      </c>
      <c r="B354" t="s">
        <v>93</v>
      </c>
      <c r="C354" t="s">
        <v>45</v>
      </c>
      <c r="D354" t="s">
        <v>15</v>
      </c>
      <c r="E354" t="s">
        <v>762</v>
      </c>
      <c r="F354" s="3" t="s">
        <v>16</v>
      </c>
      <c r="G354" s="3" t="s">
        <v>16</v>
      </c>
      <c r="H354" t="s">
        <v>22</v>
      </c>
      <c r="I354" t="s">
        <v>23</v>
      </c>
      <c r="J354">
        <v>12305000</v>
      </c>
      <c r="K354" t="s">
        <v>102</v>
      </c>
      <c r="L354" t="s">
        <v>15</v>
      </c>
      <c r="M354" s="1">
        <f>Data_Caso_Propuesto[[#This Row],[Precio]]</f>
        <v>12305000</v>
      </c>
      <c r="N354" s="1" t="str">
        <f>IFERROR(Data_Caso_Propuesto[[#This Row],[Precio]]/Data_Caso_Propuesto[[#This Row],[Area Terreno]],"")</f>
        <v/>
      </c>
      <c r="O354" s="1" t="str">
        <f>IFERROR((Data_Caso_Propuesto[[#This Row],[Precio]]/Data_Caso_Propuesto[[#This Row],[Area Terreno]])/1000000,"")</f>
        <v/>
      </c>
      <c r="P354" s="1"/>
    </row>
    <row r="355" spans="1:16" x14ac:dyDescent="0.25">
      <c r="A355" t="s">
        <v>763</v>
      </c>
      <c r="B355" t="s">
        <v>93</v>
      </c>
      <c r="C355" t="s">
        <v>45</v>
      </c>
      <c r="D355" t="s">
        <v>15</v>
      </c>
      <c r="E355" t="s">
        <v>764</v>
      </c>
      <c r="F355" s="3" t="s">
        <v>16</v>
      </c>
      <c r="G355" s="3" t="s">
        <v>16</v>
      </c>
      <c r="H355" t="s">
        <v>22</v>
      </c>
      <c r="I355" t="s">
        <v>23</v>
      </c>
      <c r="J355">
        <v>12305000</v>
      </c>
      <c r="K355" t="s">
        <v>102</v>
      </c>
      <c r="L355" t="s">
        <v>15</v>
      </c>
      <c r="M355" s="1">
        <f>Data_Caso_Propuesto[[#This Row],[Precio]]</f>
        <v>12305000</v>
      </c>
      <c r="N355" s="1" t="str">
        <f>IFERROR(Data_Caso_Propuesto[[#This Row],[Precio]]/Data_Caso_Propuesto[[#This Row],[Area Terreno]],"")</f>
        <v/>
      </c>
      <c r="O355" s="1" t="str">
        <f>IFERROR((Data_Caso_Propuesto[[#This Row],[Precio]]/Data_Caso_Propuesto[[#This Row],[Area Terreno]])/1000000,"")</f>
        <v/>
      </c>
      <c r="P355" s="1"/>
    </row>
    <row r="356" spans="1:16" x14ac:dyDescent="0.25">
      <c r="A356" t="s">
        <v>765</v>
      </c>
      <c r="B356" t="s">
        <v>93</v>
      </c>
      <c r="C356" t="s">
        <v>45</v>
      </c>
      <c r="D356" t="s">
        <v>15</v>
      </c>
      <c r="E356" t="s">
        <v>766</v>
      </c>
      <c r="F356" s="3" t="s">
        <v>16</v>
      </c>
      <c r="G356" s="3" t="s">
        <v>16</v>
      </c>
      <c r="H356" t="s">
        <v>22</v>
      </c>
      <c r="I356" t="s">
        <v>23</v>
      </c>
      <c r="J356">
        <v>12305000</v>
      </c>
      <c r="K356" t="s">
        <v>102</v>
      </c>
      <c r="L356" t="s">
        <v>15</v>
      </c>
      <c r="M356" s="1">
        <f>Data_Caso_Propuesto[[#This Row],[Precio]]</f>
        <v>12305000</v>
      </c>
      <c r="N356" s="1" t="str">
        <f>IFERROR(Data_Caso_Propuesto[[#This Row],[Precio]]/Data_Caso_Propuesto[[#This Row],[Area Terreno]],"")</f>
        <v/>
      </c>
      <c r="O356" s="1" t="str">
        <f>IFERROR((Data_Caso_Propuesto[[#This Row],[Precio]]/Data_Caso_Propuesto[[#This Row],[Area Terreno]])/1000000,"")</f>
        <v/>
      </c>
      <c r="P356" s="1"/>
    </row>
    <row r="357" spans="1:16" x14ac:dyDescent="0.25">
      <c r="A357" t="s">
        <v>767</v>
      </c>
      <c r="B357" t="s">
        <v>93</v>
      </c>
      <c r="C357" t="s">
        <v>45</v>
      </c>
      <c r="D357" t="s">
        <v>15</v>
      </c>
      <c r="E357" t="s">
        <v>768</v>
      </c>
      <c r="F357" s="3" t="s">
        <v>16</v>
      </c>
      <c r="G357" s="3" t="s">
        <v>16</v>
      </c>
      <c r="H357" t="s">
        <v>22</v>
      </c>
      <c r="I357" t="s">
        <v>23</v>
      </c>
      <c r="J357">
        <v>12305000</v>
      </c>
      <c r="K357" t="s">
        <v>102</v>
      </c>
      <c r="L357" t="s">
        <v>15</v>
      </c>
      <c r="M357" s="1">
        <f>Data_Caso_Propuesto[[#This Row],[Precio]]</f>
        <v>12305000</v>
      </c>
      <c r="N357" s="1" t="str">
        <f>IFERROR(Data_Caso_Propuesto[[#This Row],[Precio]]/Data_Caso_Propuesto[[#This Row],[Area Terreno]],"")</f>
        <v/>
      </c>
      <c r="O357" s="1" t="str">
        <f>IFERROR((Data_Caso_Propuesto[[#This Row],[Precio]]/Data_Caso_Propuesto[[#This Row],[Area Terreno]])/1000000,"")</f>
        <v/>
      </c>
      <c r="P357" s="1"/>
    </row>
    <row r="358" spans="1:16" x14ac:dyDescent="0.25">
      <c r="A358" t="s">
        <v>769</v>
      </c>
      <c r="B358" t="s">
        <v>93</v>
      </c>
      <c r="C358" t="s">
        <v>45</v>
      </c>
      <c r="D358" t="s">
        <v>15</v>
      </c>
      <c r="E358" t="s">
        <v>770</v>
      </c>
      <c r="F358" s="3" t="s">
        <v>16</v>
      </c>
      <c r="G358" s="3" t="s">
        <v>16</v>
      </c>
      <c r="H358" t="s">
        <v>22</v>
      </c>
      <c r="I358" t="s">
        <v>23</v>
      </c>
      <c r="J358">
        <v>12305000</v>
      </c>
      <c r="K358" t="s">
        <v>102</v>
      </c>
      <c r="L358" t="s">
        <v>15</v>
      </c>
      <c r="M358" s="1">
        <f>Data_Caso_Propuesto[[#This Row],[Precio]]</f>
        <v>12305000</v>
      </c>
      <c r="N358" s="1" t="str">
        <f>IFERROR(Data_Caso_Propuesto[[#This Row],[Precio]]/Data_Caso_Propuesto[[#This Row],[Area Terreno]],"")</f>
        <v/>
      </c>
      <c r="O358" s="1" t="str">
        <f>IFERROR((Data_Caso_Propuesto[[#This Row],[Precio]]/Data_Caso_Propuesto[[#This Row],[Area Terreno]])/1000000,"")</f>
        <v/>
      </c>
      <c r="P358" s="1"/>
    </row>
    <row r="359" spans="1:16" x14ac:dyDescent="0.25">
      <c r="A359" t="s">
        <v>771</v>
      </c>
      <c r="B359" t="s">
        <v>93</v>
      </c>
      <c r="C359" t="s">
        <v>45</v>
      </c>
      <c r="D359" t="s">
        <v>15</v>
      </c>
      <c r="E359" t="s">
        <v>772</v>
      </c>
      <c r="F359" s="3" t="s">
        <v>16</v>
      </c>
      <c r="G359" s="3" t="s">
        <v>16</v>
      </c>
      <c r="H359" t="s">
        <v>22</v>
      </c>
      <c r="I359" t="s">
        <v>23</v>
      </c>
      <c r="J359">
        <v>12305000</v>
      </c>
      <c r="K359" t="s">
        <v>102</v>
      </c>
      <c r="L359" t="s">
        <v>15</v>
      </c>
      <c r="M359" s="1">
        <f>Data_Caso_Propuesto[[#This Row],[Precio]]</f>
        <v>12305000</v>
      </c>
      <c r="N359" s="1" t="str">
        <f>IFERROR(Data_Caso_Propuesto[[#This Row],[Precio]]/Data_Caso_Propuesto[[#This Row],[Area Terreno]],"")</f>
        <v/>
      </c>
      <c r="O359" s="1" t="str">
        <f>IFERROR((Data_Caso_Propuesto[[#This Row],[Precio]]/Data_Caso_Propuesto[[#This Row],[Area Terreno]])/1000000,"")</f>
        <v/>
      </c>
      <c r="P359" s="1"/>
    </row>
    <row r="360" spans="1:16" x14ac:dyDescent="0.25">
      <c r="A360" t="s">
        <v>773</v>
      </c>
      <c r="B360" t="s">
        <v>774</v>
      </c>
      <c r="C360" t="s">
        <v>139</v>
      </c>
      <c r="D360" t="s">
        <v>15</v>
      </c>
      <c r="E360" t="s">
        <v>775</v>
      </c>
      <c r="F360" s="3" t="s">
        <v>16</v>
      </c>
      <c r="G360" s="3" t="s">
        <v>16</v>
      </c>
      <c r="H360" t="s">
        <v>17</v>
      </c>
      <c r="I360" t="s">
        <v>176</v>
      </c>
      <c r="J360">
        <v>12240000</v>
      </c>
      <c r="K360" t="s">
        <v>68</v>
      </c>
      <c r="L360" t="s">
        <v>776</v>
      </c>
      <c r="M360" s="1">
        <f>Data_Caso_Propuesto[[#This Row],[Precio]]</f>
        <v>12240000</v>
      </c>
      <c r="N360" s="1" t="str">
        <f>IFERROR(Data_Caso_Propuesto[[#This Row],[Precio]]/Data_Caso_Propuesto[[#This Row],[Area Terreno]],"")</f>
        <v/>
      </c>
      <c r="O360" s="1" t="str">
        <f>IFERROR((Data_Caso_Propuesto[[#This Row],[Precio]]/Data_Caso_Propuesto[[#This Row],[Area Terreno]])/1000000,"")</f>
        <v/>
      </c>
      <c r="P360" s="1"/>
    </row>
    <row r="361" spans="1:16" x14ac:dyDescent="0.25">
      <c r="A361" t="s">
        <v>777</v>
      </c>
      <c r="B361" t="s">
        <v>774</v>
      </c>
      <c r="C361" t="s">
        <v>139</v>
      </c>
      <c r="D361" t="s">
        <v>15</v>
      </c>
      <c r="E361" t="s">
        <v>778</v>
      </c>
      <c r="F361" s="3" t="s">
        <v>16</v>
      </c>
      <c r="G361" s="3" t="s">
        <v>16</v>
      </c>
      <c r="H361" t="s">
        <v>17</v>
      </c>
      <c r="I361" t="s">
        <v>176</v>
      </c>
      <c r="J361">
        <v>12240000</v>
      </c>
      <c r="K361" t="s">
        <v>68</v>
      </c>
      <c r="L361" t="s">
        <v>1096</v>
      </c>
      <c r="M361" s="1">
        <f>Data_Caso_Propuesto[[#This Row],[Precio]]</f>
        <v>12240000</v>
      </c>
      <c r="N361" s="1" t="str">
        <f>IFERROR(Data_Caso_Propuesto[[#This Row],[Precio]]/Data_Caso_Propuesto[[#This Row],[Area Terreno]],"")</f>
        <v/>
      </c>
      <c r="O361" s="1" t="str">
        <f>IFERROR((Data_Caso_Propuesto[[#This Row],[Precio]]/Data_Caso_Propuesto[[#This Row],[Area Terreno]])/1000000,"")</f>
        <v/>
      </c>
      <c r="P361" s="1"/>
    </row>
    <row r="362" spans="1:16" x14ac:dyDescent="0.25">
      <c r="A362" t="s">
        <v>779</v>
      </c>
      <c r="B362" t="s">
        <v>774</v>
      </c>
      <c r="C362" t="s">
        <v>139</v>
      </c>
      <c r="D362" t="s">
        <v>15</v>
      </c>
      <c r="E362" t="s">
        <v>780</v>
      </c>
      <c r="F362" s="3" t="s">
        <v>16</v>
      </c>
      <c r="G362" s="3" t="s">
        <v>16</v>
      </c>
      <c r="H362" t="s">
        <v>17</v>
      </c>
      <c r="I362" t="s">
        <v>176</v>
      </c>
      <c r="J362">
        <v>12240000</v>
      </c>
      <c r="K362" t="s">
        <v>68</v>
      </c>
      <c r="L362" t="s">
        <v>776</v>
      </c>
      <c r="M362" s="1">
        <f>Data_Caso_Propuesto[[#This Row],[Precio]]</f>
        <v>12240000</v>
      </c>
      <c r="N362" s="1" t="str">
        <f>IFERROR(Data_Caso_Propuesto[[#This Row],[Precio]]/Data_Caso_Propuesto[[#This Row],[Area Terreno]],"")</f>
        <v/>
      </c>
      <c r="O362" s="1" t="str">
        <f>IFERROR((Data_Caso_Propuesto[[#This Row],[Precio]]/Data_Caso_Propuesto[[#This Row],[Area Terreno]])/1000000,"")</f>
        <v/>
      </c>
      <c r="P362" s="1"/>
    </row>
    <row r="363" spans="1:16" x14ac:dyDescent="0.25">
      <c r="A363" t="s">
        <v>781</v>
      </c>
      <c r="B363" t="s">
        <v>93</v>
      </c>
      <c r="C363" t="s">
        <v>45</v>
      </c>
      <c r="D363" t="s">
        <v>15</v>
      </c>
      <c r="E363" t="s">
        <v>782</v>
      </c>
      <c r="F363" s="3" t="s">
        <v>16</v>
      </c>
      <c r="G363" s="3" t="s">
        <v>16</v>
      </c>
      <c r="H363" t="s">
        <v>77</v>
      </c>
      <c r="I363" t="s">
        <v>23</v>
      </c>
      <c r="J363">
        <v>12171250</v>
      </c>
      <c r="K363" t="s">
        <v>102</v>
      </c>
      <c r="L363" t="s">
        <v>15</v>
      </c>
      <c r="M363" s="1">
        <f>Data_Caso_Propuesto[[#This Row],[Precio]]</f>
        <v>12171250</v>
      </c>
      <c r="N363" s="1" t="str">
        <f>IFERROR(Data_Caso_Propuesto[[#This Row],[Precio]]/Data_Caso_Propuesto[[#This Row],[Area Terreno]],"")</f>
        <v/>
      </c>
      <c r="O363" s="1" t="str">
        <f>IFERROR((Data_Caso_Propuesto[[#This Row],[Precio]]/Data_Caso_Propuesto[[#This Row],[Area Terreno]])/1000000,"")</f>
        <v/>
      </c>
      <c r="P363" s="1"/>
    </row>
    <row r="364" spans="1:16" x14ac:dyDescent="0.25">
      <c r="A364" t="s">
        <v>783</v>
      </c>
      <c r="B364" t="s">
        <v>93</v>
      </c>
      <c r="C364" t="s">
        <v>45</v>
      </c>
      <c r="D364" t="s">
        <v>15</v>
      </c>
      <c r="E364" t="s">
        <v>784</v>
      </c>
      <c r="F364" s="3" t="s">
        <v>16</v>
      </c>
      <c r="G364" s="3" t="s">
        <v>16</v>
      </c>
      <c r="H364" t="s">
        <v>22</v>
      </c>
      <c r="I364" t="s">
        <v>23</v>
      </c>
      <c r="J364">
        <v>11680000</v>
      </c>
      <c r="K364" t="s">
        <v>102</v>
      </c>
      <c r="L364" t="s">
        <v>15</v>
      </c>
      <c r="M364" s="1">
        <f>Data_Caso_Propuesto[[#This Row],[Precio]]</f>
        <v>11680000</v>
      </c>
      <c r="N364" s="1" t="str">
        <f>IFERROR(Data_Caso_Propuesto[[#This Row],[Precio]]/Data_Caso_Propuesto[[#This Row],[Area Terreno]],"")</f>
        <v/>
      </c>
      <c r="O364" s="1" t="str">
        <f>IFERROR((Data_Caso_Propuesto[[#This Row],[Precio]]/Data_Caso_Propuesto[[#This Row],[Area Terreno]])/1000000,"")</f>
        <v/>
      </c>
      <c r="P364" s="1"/>
    </row>
    <row r="365" spans="1:16" x14ac:dyDescent="0.25">
      <c r="A365" t="s">
        <v>785</v>
      </c>
      <c r="B365" t="s">
        <v>93</v>
      </c>
      <c r="C365" t="s">
        <v>45</v>
      </c>
      <c r="D365" t="s">
        <v>15</v>
      </c>
      <c r="E365" t="s">
        <v>786</v>
      </c>
      <c r="F365" s="3" t="s">
        <v>16</v>
      </c>
      <c r="G365" s="3" t="s">
        <v>16</v>
      </c>
      <c r="H365" t="s">
        <v>22</v>
      </c>
      <c r="I365" t="s">
        <v>23</v>
      </c>
      <c r="J365">
        <v>11680000</v>
      </c>
      <c r="K365" t="s">
        <v>102</v>
      </c>
      <c r="L365" t="s">
        <v>15</v>
      </c>
      <c r="M365" s="1">
        <f>Data_Caso_Propuesto[[#This Row],[Precio]]</f>
        <v>11680000</v>
      </c>
      <c r="N365" s="1" t="str">
        <f>IFERROR(Data_Caso_Propuesto[[#This Row],[Precio]]/Data_Caso_Propuesto[[#This Row],[Area Terreno]],"")</f>
        <v/>
      </c>
      <c r="O365" s="1" t="str">
        <f>IFERROR((Data_Caso_Propuesto[[#This Row],[Precio]]/Data_Caso_Propuesto[[#This Row],[Area Terreno]])/1000000,"")</f>
        <v/>
      </c>
      <c r="P365" s="1"/>
    </row>
    <row r="366" spans="1:16" x14ac:dyDescent="0.25">
      <c r="A366" t="s">
        <v>787</v>
      </c>
      <c r="B366" t="s">
        <v>93</v>
      </c>
      <c r="C366" t="s">
        <v>45</v>
      </c>
      <c r="D366" t="s">
        <v>15</v>
      </c>
      <c r="E366" t="s">
        <v>788</v>
      </c>
      <c r="F366" s="3" t="s">
        <v>16</v>
      </c>
      <c r="G366" s="3" t="s">
        <v>16</v>
      </c>
      <c r="H366" t="s">
        <v>22</v>
      </c>
      <c r="I366" t="s">
        <v>23</v>
      </c>
      <c r="J366">
        <v>11680000</v>
      </c>
      <c r="K366" t="s">
        <v>102</v>
      </c>
      <c r="L366" t="s">
        <v>15</v>
      </c>
      <c r="M366" s="1">
        <f>Data_Caso_Propuesto[[#This Row],[Precio]]</f>
        <v>11680000</v>
      </c>
      <c r="N366" s="1" t="str">
        <f>IFERROR(Data_Caso_Propuesto[[#This Row],[Precio]]/Data_Caso_Propuesto[[#This Row],[Area Terreno]],"")</f>
        <v/>
      </c>
      <c r="O366" s="1" t="str">
        <f>IFERROR((Data_Caso_Propuesto[[#This Row],[Precio]]/Data_Caso_Propuesto[[#This Row],[Area Terreno]])/1000000,"")</f>
        <v/>
      </c>
      <c r="P366" s="1"/>
    </row>
    <row r="367" spans="1:16" x14ac:dyDescent="0.25">
      <c r="A367" t="s">
        <v>789</v>
      </c>
      <c r="B367" t="s">
        <v>93</v>
      </c>
      <c r="C367" t="s">
        <v>45</v>
      </c>
      <c r="D367" t="s">
        <v>15</v>
      </c>
      <c r="E367" t="s">
        <v>790</v>
      </c>
      <c r="F367" s="3" t="s">
        <v>16</v>
      </c>
      <c r="G367" s="3" t="s">
        <v>16</v>
      </c>
      <c r="H367" t="s">
        <v>22</v>
      </c>
      <c r="I367" t="s">
        <v>23</v>
      </c>
      <c r="J367">
        <v>11680000</v>
      </c>
      <c r="K367" t="s">
        <v>102</v>
      </c>
      <c r="L367" t="s">
        <v>15</v>
      </c>
      <c r="M367" s="1">
        <f>Data_Caso_Propuesto[[#This Row],[Precio]]</f>
        <v>11680000</v>
      </c>
      <c r="N367" s="1" t="str">
        <f>IFERROR(Data_Caso_Propuesto[[#This Row],[Precio]]/Data_Caso_Propuesto[[#This Row],[Area Terreno]],"")</f>
        <v/>
      </c>
      <c r="O367" s="1" t="str">
        <f>IFERROR((Data_Caso_Propuesto[[#This Row],[Precio]]/Data_Caso_Propuesto[[#This Row],[Area Terreno]])/1000000,"")</f>
        <v/>
      </c>
      <c r="P367" s="1"/>
    </row>
    <row r="368" spans="1:16" x14ac:dyDescent="0.25">
      <c r="A368" t="s">
        <v>791</v>
      </c>
      <c r="B368" t="s">
        <v>93</v>
      </c>
      <c r="C368" t="s">
        <v>45</v>
      </c>
      <c r="D368" t="s">
        <v>15</v>
      </c>
      <c r="E368" t="s">
        <v>792</v>
      </c>
      <c r="F368" s="3" t="s">
        <v>16</v>
      </c>
      <c r="G368" s="3" t="s">
        <v>16</v>
      </c>
      <c r="H368" t="s">
        <v>22</v>
      </c>
      <c r="I368" t="s">
        <v>23</v>
      </c>
      <c r="J368">
        <v>11680000</v>
      </c>
      <c r="K368" t="s">
        <v>102</v>
      </c>
      <c r="L368" t="s">
        <v>15</v>
      </c>
      <c r="M368" s="1">
        <f>Data_Caso_Propuesto[[#This Row],[Precio]]</f>
        <v>11680000</v>
      </c>
      <c r="N368" s="1" t="str">
        <f>IFERROR(Data_Caso_Propuesto[[#This Row],[Precio]]/Data_Caso_Propuesto[[#This Row],[Area Terreno]],"")</f>
        <v/>
      </c>
      <c r="O368" s="1" t="str">
        <f>IFERROR((Data_Caso_Propuesto[[#This Row],[Precio]]/Data_Caso_Propuesto[[#This Row],[Area Terreno]])/1000000,"")</f>
        <v/>
      </c>
      <c r="P368" s="1"/>
    </row>
    <row r="369" spans="1:16" x14ac:dyDescent="0.25">
      <c r="A369" t="s">
        <v>793</v>
      </c>
      <c r="B369" t="s">
        <v>774</v>
      </c>
      <c r="C369" t="s">
        <v>139</v>
      </c>
      <c r="D369" t="s">
        <v>15</v>
      </c>
      <c r="E369" t="s">
        <v>794</v>
      </c>
      <c r="F369" s="3" t="s">
        <v>16</v>
      </c>
      <c r="G369" s="3" t="s">
        <v>16</v>
      </c>
      <c r="H369" t="s">
        <v>17</v>
      </c>
      <c r="I369" t="s">
        <v>176</v>
      </c>
      <c r="J369">
        <v>11232000</v>
      </c>
      <c r="K369" t="s">
        <v>68</v>
      </c>
      <c r="L369" t="s">
        <v>776</v>
      </c>
      <c r="M369" s="1">
        <f>Data_Caso_Propuesto[[#This Row],[Precio]]</f>
        <v>11232000</v>
      </c>
      <c r="N369" s="1" t="str">
        <f>IFERROR(Data_Caso_Propuesto[[#This Row],[Precio]]/Data_Caso_Propuesto[[#This Row],[Area Terreno]],"")</f>
        <v/>
      </c>
      <c r="O369" s="1" t="str">
        <f>IFERROR((Data_Caso_Propuesto[[#This Row],[Precio]]/Data_Caso_Propuesto[[#This Row],[Area Terreno]])/1000000,"")</f>
        <v/>
      </c>
      <c r="P369" s="1"/>
    </row>
    <row r="370" spans="1:16" x14ac:dyDescent="0.25">
      <c r="A370" t="s">
        <v>795</v>
      </c>
      <c r="B370" t="s">
        <v>774</v>
      </c>
      <c r="C370" t="s">
        <v>139</v>
      </c>
      <c r="D370" t="s">
        <v>15</v>
      </c>
      <c r="E370" t="s">
        <v>796</v>
      </c>
      <c r="F370" s="3" t="s">
        <v>16</v>
      </c>
      <c r="G370" s="3" t="s">
        <v>16</v>
      </c>
      <c r="H370" t="s">
        <v>17</v>
      </c>
      <c r="I370" t="s">
        <v>176</v>
      </c>
      <c r="J370">
        <v>11232000</v>
      </c>
      <c r="K370" t="s">
        <v>68</v>
      </c>
      <c r="L370" t="s">
        <v>776</v>
      </c>
      <c r="M370" s="1">
        <f>Data_Caso_Propuesto[[#This Row],[Precio]]</f>
        <v>11232000</v>
      </c>
      <c r="N370" s="1" t="str">
        <f>IFERROR(Data_Caso_Propuesto[[#This Row],[Precio]]/Data_Caso_Propuesto[[#This Row],[Area Terreno]],"")</f>
        <v/>
      </c>
      <c r="O370" s="1" t="str">
        <f>IFERROR((Data_Caso_Propuesto[[#This Row],[Precio]]/Data_Caso_Propuesto[[#This Row],[Area Terreno]])/1000000,"")</f>
        <v/>
      </c>
      <c r="P370" s="1"/>
    </row>
    <row r="371" spans="1:16" x14ac:dyDescent="0.25">
      <c r="A371" t="s">
        <v>797</v>
      </c>
      <c r="B371" t="s">
        <v>774</v>
      </c>
      <c r="C371" t="s">
        <v>139</v>
      </c>
      <c r="D371" t="s">
        <v>15</v>
      </c>
      <c r="E371" t="s">
        <v>798</v>
      </c>
      <c r="F371" s="3" t="s">
        <v>16</v>
      </c>
      <c r="G371" s="3" t="s">
        <v>16</v>
      </c>
      <c r="H371" t="s">
        <v>17</v>
      </c>
      <c r="I371" t="s">
        <v>176</v>
      </c>
      <c r="J371">
        <v>11232000</v>
      </c>
      <c r="K371" t="s">
        <v>68</v>
      </c>
      <c r="L371" t="s">
        <v>776</v>
      </c>
      <c r="M371" s="1">
        <f>Data_Caso_Propuesto[[#This Row],[Precio]]</f>
        <v>11232000</v>
      </c>
      <c r="N371" s="1" t="str">
        <f>IFERROR(Data_Caso_Propuesto[[#This Row],[Precio]]/Data_Caso_Propuesto[[#This Row],[Area Terreno]],"")</f>
        <v/>
      </c>
      <c r="O371" s="1" t="str">
        <f>IFERROR((Data_Caso_Propuesto[[#This Row],[Precio]]/Data_Caso_Propuesto[[#This Row],[Area Terreno]])/1000000,"")</f>
        <v/>
      </c>
      <c r="P371" s="1"/>
    </row>
    <row r="372" spans="1:16" x14ac:dyDescent="0.25">
      <c r="A372" t="s">
        <v>799</v>
      </c>
      <c r="B372" t="s">
        <v>774</v>
      </c>
      <c r="C372" t="s">
        <v>139</v>
      </c>
      <c r="D372" t="s">
        <v>15</v>
      </c>
      <c r="E372" t="s">
        <v>800</v>
      </c>
      <c r="F372" s="3" t="s">
        <v>16</v>
      </c>
      <c r="G372" s="3" t="s">
        <v>16</v>
      </c>
      <c r="H372" t="s">
        <v>17</v>
      </c>
      <c r="I372" t="s">
        <v>176</v>
      </c>
      <c r="J372">
        <v>11232000</v>
      </c>
      <c r="K372" t="s">
        <v>68</v>
      </c>
      <c r="L372" t="s">
        <v>776</v>
      </c>
      <c r="M372" s="1">
        <f>Data_Caso_Propuesto[[#This Row],[Precio]]</f>
        <v>11232000</v>
      </c>
      <c r="N372" s="1" t="str">
        <f>IFERROR(Data_Caso_Propuesto[[#This Row],[Precio]]/Data_Caso_Propuesto[[#This Row],[Area Terreno]],"")</f>
        <v/>
      </c>
      <c r="O372" s="1" t="str">
        <f>IFERROR((Data_Caso_Propuesto[[#This Row],[Precio]]/Data_Caso_Propuesto[[#This Row],[Area Terreno]])/1000000,"")</f>
        <v/>
      </c>
      <c r="P372" s="1"/>
    </row>
    <row r="373" spans="1:16" x14ac:dyDescent="0.25">
      <c r="A373" t="s">
        <v>801</v>
      </c>
      <c r="B373" t="s">
        <v>774</v>
      </c>
      <c r="C373" t="s">
        <v>139</v>
      </c>
      <c r="D373" t="s">
        <v>15</v>
      </c>
      <c r="E373" t="s">
        <v>802</v>
      </c>
      <c r="F373" s="3" t="s">
        <v>16</v>
      </c>
      <c r="G373" s="3" t="s">
        <v>16</v>
      </c>
      <c r="H373" t="s">
        <v>17</v>
      </c>
      <c r="I373" t="s">
        <v>176</v>
      </c>
      <c r="J373">
        <v>11232000</v>
      </c>
      <c r="K373" t="s">
        <v>68</v>
      </c>
      <c r="L373" t="s">
        <v>776</v>
      </c>
      <c r="M373" s="1">
        <f>Data_Caso_Propuesto[[#This Row],[Precio]]</f>
        <v>11232000</v>
      </c>
      <c r="N373" s="1" t="str">
        <f>IFERROR(Data_Caso_Propuesto[[#This Row],[Precio]]/Data_Caso_Propuesto[[#This Row],[Area Terreno]],"")</f>
        <v/>
      </c>
      <c r="O373" s="1" t="str">
        <f>IFERROR((Data_Caso_Propuesto[[#This Row],[Precio]]/Data_Caso_Propuesto[[#This Row],[Area Terreno]])/1000000,"")</f>
        <v/>
      </c>
      <c r="P373" s="1"/>
    </row>
    <row r="374" spans="1:16" x14ac:dyDescent="0.25">
      <c r="A374" t="s">
        <v>803</v>
      </c>
      <c r="B374" t="s">
        <v>774</v>
      </c>
      <c r="C374" t="s">
        <v>139</v>
      </c>
      <c r="D374" t="s">
        <v>15</v>
      </c>
      <c r="E374" t="s">
        <v>804</v>
      </c>
      <c r="F374" s="3" t="s">
        <v>16</v>
      </c>
      <c r="G374" s="3" t="s">
        <v>16</v>
      </c>
      <c r="H374" t="s">
        <v>17</v>
      </c>
      <c r="I374" t="s">
        <v>176</v>
      </c>
      <c r="J374">
        <v>11232000</v>
      </c>
      <c r="K374" t="s">
        <v>68</v>
      </c>
      <c r="L374" t="s">
        <v>776</v>
      </c>
      <c r="M374" s="1">
        <f>Data_Caso_Propuesto[[#This Row],[Precio]]</f>
        <v>11232000</v>
      </c>
      <c r="N374" s="1" t="str">
        <f>IFERROR(Data_Caso_Propuesto[[#This Row],[Precio]]/Data_Caso_Propuesto[[#This Row],[Area Terreno]],"")</f>
        <v/>
      </c>
      <c r="O374" s="1" t="str">
        <f>IFERROR((Data_Caso_Propuesto[[#This Row],[Precio]]/Data_Caso_Propuesto[[#This Row],[Area Terreno]])/1000000,"")</f>
        <v/>
      </c>
      <c r="P374" s="1"/>
    </row>
    <row r="375" spans="1:16" x14ac:dyDescent="0.25">
      <c r="A375" t="s">
        <v>805</v>
      </c>
      <c r="B375" t="s">
        <v>774</v>
      </c>
      <c r="C375" t="s">
        <v>139</v>
      </c>
      <c r="D375" t="s">
        <v>15</v>
      </c>
      <c r="E375" t="s">
        <v>806</v>
      </c>
      <c r="F375" s="3" t="s">
        <v>16</v>
      </c>
      <c r="G375" s="3" t="s">
        <v>16</v>
      </c>
      <c r="H375" t="s">
        <v>17</v>
      </c>
      <c r="I375" t="s">
        <v>176</v>
      </c>
      <c r="J375">
        <v>11232000</v>
      </c>
      <c r="K375" t="s">
        <v>68</v>
      </c>
      <c r="L375" t="s">
        <v>776</v>
      </c>
      <c r="M375" s="1">
        <f>Data_Caso_Propuesto[[#This Row],[Precio]]</f>
        <v>11232000</v>
      </c>
      <c r="N375" s="1" t="str">
        <f>IFERROR(Data_Caso_Propuesto[[#This Row],[Precio]]/Data_Caso_Propuesto[[#This Row],[Area Terreno]],"")</f>
        <v/>
      </c>
      <c r="O375" s="1" t="str">
        <f>IFERROR((Data_Caso_Propuesto[[#This Row],[Precio]]/Data_Caso_Propuesto[[#This Row],[Area Terreno]])/1000000,"")</f>
        <v/>
      </c>
      <c r="P375" s="1"/>
    </row>
    <row r="376" spans="1:16" x14ac:dyDescent="0.25">
      <c r="A376" t="s">
        <v>807</v>
      </c>
      <c r="B376" t="s">
        <v>111</v>
      </c>
      <c r="C376" t="s">
        <v>112</v>
      </c>
      <c r="D376" t="s">
        <v>15</v>
      </c>
      <c r="E376" t="s">
        <v>808</v>
      </c>
      <c r="F376" s="3" t="s">
        <v>16</v>
      </c>
      <c r="G376" s="3" t="s">
        <v>16</v>
      </c>
      <c r="H376" t="s">
        <v>17</v>
      </c>
      <c r="I376" t="s">
        <v>61</v>
      </c>
      <c r="J376">
        <v>569416000</v>
      </c>
      <c r="K376" t="s">
        <v>62</v>
      </c>
      <c r="L376" t="s">
        <v>1084</v>
      </c>
      <c r="M376" s="1">
        <f>Data_Caso_Propuesto[[#This Row],[Precio]]</f>
        <v>569416000</v>
      </c>
      <c r="N376" s="1" t="str">
        <f>IFERROR(Data_Caso_Propuesto[[#This Row],[Precio]]/Data_Caso_Propuesto[[#This Row],[Area Terreno]],"")</f>
        <v/>
      </c>
      <c r="O376" s="1" t="str">
        <f>IFERROR((Data_Caso_Propuesto[[#This Row],[Precio]]/Data_Caso_Propuesto[[#This Row],[Area Terreno]])/1000000,"")</f>
        <v/>
      </c>
      <c r="P376" s="1"/>
    </row>
    <row r="377" spans="1:16" x14ac:dyDescent="0.25">
      <c r="A377" t="s">
        <v>809</v>
      </c>
      <c r="B377" t="s">
        <v>111</v>
      </c>
      <c r="C377" t="s">
        <v>112</v>
      </c>
      <c r="D377" t="s">
        <v>15</v>
      </c>
      <c r="E377" t="s">
        <v>810</v>
      </c>
      <c r="F377" s="3" t="s">
        <v>16</v>
      </c>
      <c r="G377" s="3" t="s">
        <v>16</v>
      </c>
      <c r="H377" t="s">
        <v>17</v>
      </c>
      <c r="I377" t="s">
        <v>61</v>
      </c>
      <c r="J377">
        <v>564192000</v>
      </c>
      <c r="K377" t="s">
        <v>62</v>
      </c>
      <c r="L377" t="s">
        <v>1084</v>
      </c>
      <c r="M377" s="1">
        <f>Data_Caso_Propuesto[[#This Row],[Precio]]</f>
        <v>564192000</v>
      </c>
      <c r="N377" s="1" t="str">
        <f>IFERROR(Data_Caso_Propuesto[[#This Row],[Precio]]/Data_Caso_Propuesto[[#This Row],[Area Terreno]],"")</f>
        <v/>
      </c>
      <c r="O377" s="1" t="str">
        <f>IFERROR((Data_Caso_Propuesto[[#This Row],[Precio]]/Data_Caso_Propuesto[[#This Row],[Area Terreno]])/1000000,"")</f>
        <v/>
      </c>
      <c r="P377" s="1"/>
    </row>
    <row r="378" spans="1:16" x14ac:dyDescent="0.25">
      <c r="A378" t="s">
        <v>811</v>
      </c>
      <c r="B378" t="s">
        <v>93</v>
      </c>
      <c r="C378" t="s">
        <v>45</v>
      </c>
      <c r="D378" t="s">
        <v>15</v>
      </c>
      <c r="E378" t="s">
        <v>812</v>
      </c>
      <c r="F378" s="3" t="s">
        <v>16</v>
      </c>
      <c r="G378" s="3" t="s">
        <v>16</v>
      </c>
      <c r="H378" t="s">
        <v>22</v>
      </c>
      <c r="I378" t="s">
        <v>23</v>
      </c>
      <c r="J378">
        <v>10284500</v>
      </c>
      <c r="K378" t="s">
        <v>102</v>
      </c>
      <c r="L378" t="s">
        <v>15</v>
      </c>
      <c r="M378" s="1">
        <f>Data_Caso_Propuesto[[#This Row],[Precio]]</f>
        <v>10284500</v>
      </c>
      <c r="N378" s="1" t="str">
        <f>IFERROR(Data_Caso_Propuesto[[#This Row],[Precio]]/Data_Caso_Propuesto[[#This Row],[Area Terreno]],"")</f>
        <v/>
      </c>
      <c r="O378" s="1" t="str">
        <f>IFERROR((Data_Caso_Propuesto[[#This Row],[Precio]]/Data_Caso_Propuesto[[#This Row],[Area Terreno]])/1000000,"")</f>
        <v/>
      </c>
      <c r="P378" s="1"/>
    </row>
    <row r="379" spans="1:16" x14ac:dyDescent="0.25">
      <c r="A379" t="s">
        <v>813</v>
      </c>
      <c r="B379" t="s">
        <v>774</v>
      </c>
      <c r="C379" t="s">
        <v>139</v>
      </c>
      <c r="D379" t="s">
        <v>15</v>
      </c>
      <c r="E379" t="s">
        <v>814</v>
      </c>
      <c r="F379" s="3" t="s">
        <v>16</v>
      </c>
      <c r="G379" s="3" t="s">
        <v>16</v>
      </c>
      <c r="H379" t="s">
        <v>17</v>
      </c>
      <c r="I379" t="s">
        <v>176</v>
      </c>
      <c r="J379">
        <v>10152000</v>
      </c>
      <c r="K379" t="s">
        <v>68</v>
      </c>
      <c r="L379" t="s">
        <v>776</v>
      </c>
      <c r="M379" s="1">
        <f>Data_Caso_Propuesto[[#This Row],[Precio]]</f>
        <v>10152000</v>
      </c>
      <c r="N379" s="1" t="str">
        <f>IFERROR(Data_Caso_Propuesto[[#This Row],[Precio]]/Data_Caso_Propuesto[[#This Row],[Area Terreno]],"")</f>
        <v/>
      </c>
      <c r="O379" s="1" t="str">
        <f>IFERROR((Data_Caso_Propuesto[[#This Row],[Precio]]/Data_Caso_Propuesto[[#This Row],[Area Terreno]])/1000000,"")</f>
        <v/>
      </c>
      <c r="P379" s="1"/>
    </row>
    <row r="380" spans="1:16" x14ac:dyDescent="0.25">
      <c r="A380" t="s">
        <v>815</v>
      </c>
      <c r="B380" t="s">
        <v>774</v>
      </c>
      <c r="C380" t="s">
        <v>139</v>
      </c>
      <c r="D380" t="s">
        <v>15</v>
      </c>
      <c r="E380" t="s">
        <v>816</v>
      </c>
      <c r="F380" s="3" t="s">
        <v>16</v>
      </c>
      <c r="G380" s="3" t="s">
        <v>16</v>
      </c>
      <c r="H380" t="s">
        <v>17</v>
      </c>
      <c r="I380" t="s">
        <v>176</v>
      </c>
      <c r="J380">
        <v>10152000</v>
      </c>
      <c r="K380" t="s">
        <v>68</v>
      </c>
      <c r="L380" t="s">
        <v>776</v>
      </c>
      <c r="M380" s="1">
        <f>Data_Caso_Propuesto[[#This Row],[Precio]]</f>
        <v>10152000</v>
      </c>
      <c r="N380" s="1" t="str">
        <f>IFERROR(Data_Caso_Propuesto[[#This Row],[Precio]]/Data_Caso_Propuesto[[#This Row],[Area Terreno]],"")</f>
        <v/>
      </c>
      <c r="O380" s="1" t="str">
        <f>IFERROR((Data_Caso_Propuesto[[#This Row],[Precio]]/Data_Caso_Propuesto[[#This Row],[Area Terreno]])/1000000,"")</f>
        <v/>
      </c>
      <c r="P380" s="1"/>
    </row>
    <row r="381" spans="1:16" x14ac:dyDescent="0.25">
      <c r="A381" t="s">
        <v>817</v>
      </c>
      <c r="B381" t="s">
        <v>774</v>
      </c>
      <c r="C381" t="s">
        <v>139</v>
      </c>
      <c r="D381" t="s">
        <v>15</v>
      </c>
      <c r="E381" t="s">
        <v>818</v>
      </c>
      <c r="F381" s="3" t="s">
        <v>16</v>
      </c>
      <c r="G381" s="3" t="s">
        <v>16</v>
      </c>
      <c r="H381" t="s">
        <v>17</v>
      </c>
      <c r="I381" t="s">
        <v>176</v>
      </c>
      <c r="J381">
        <v>10152000</v>
      </c>
      <c r="K381" t="s">
        <v>68</v>
      </c>
      <c r="L381" t="s">
        <v>776</v>
      </c>
      <c r="M381" s="1">
        <f>Data_Caso_Propuesto[[#This Row],[Precio]]</f>
        <v>10152000</v>
      </c>
      <c r="N381" s="1" t="str">
        <f>IFERROR(Data_Caso_Propuesto[[#This Row],[Precio]]/Data_Caso_Propuesto[[#This Row],[Area Terreno]],"")</f>
        <v/>
      </c>
      <c r="O381" s="1" t="str">
        <f>IFERROR((Data_Caso_Propuesto[[#This Row],[Precio]]/Data_Caso_Propuesto[[#This Row],[Area Terreno]])/1000000,"")</f>
        <v/>
      </c>
      <c r="P381" s="1"/>
    </row>
    <row r="382" spans="1:16" x14ac:dyDescent="0.25">
      <c r="A382" t="s">
        <v>819</v>
      </c>
      <c r="B382" t="s">
        <v>774</v>
      </c>
      <c r="C382" t="s">
        <v>139</v>
      </c>
      <c r="D382" t="s">
        <v>15</v>
      </c>
      <c r="E382" t="s">
        <v>820</v>
      </c>
      <c r="F382" s="3" t="s">
        <v>16</v>
      </c>
      <c r="G382" s="3" t="s">
        <v>16</v>
      </c>
      <c r="H382" t="s">
        <v>17</v>
      </c>
      <c r="I382" t="s">
        <v>176</v>
      </c>
      <c r="J382">
        <v>10152000</v>
      </c>
      <c r="K382" t="s">
        <v>68</v>
      </c>
      <c r="L382" t="s">
        <v>776</v>
      </c>
      <c r="M382" s="1">
        <f>Data_Caso_Propuesto[[#This Row],[Precio]]</f>
        <v>10152000</v>
      </c>
      <c r="N382" s="1" t="str">
        <f>IFERROR(Data_Caso_Propuesto[[#This Row],[Precio]]/Data_Caso_Propuesto[[#This Row],[Area Terreno]],"")</f>
        <v/>
      </c>
      <c r="O382" s="1" t="str">
        <f>IFERROR((Data_Caso_Propuesto[[#This Row],[Precio]]/Data_Caso_Propuesto[[#This Row],[Area Terreno]])/1000000,"")</f>
        <v/>
      </c>
      <c r="P382" s="1"/>
    </row>
    <row r="383" spans="1:16" x14ac:dyDescent="0.25">
      <c r="A383" t="s">
        <v>821</v>
      </c>
      <c r="B383" t="s">
        <v>774</v>
      </c>
      <c r="C383" t="s">
        <v>139</v>
      </c>
      <c r="D383" t="s">
        <v>15</v>
      </c>
      <c r="E383" t="s">
        <v>822</v>
      </c>
      <c r="F383" s="3" t="s">
        <v>16</v>
      </c>
      <c r="G383" s="3" t="s">
        <v>16</v>
      </c>
      <c r="H383" t="s">
        <v>17</v>
      </c>
      <c r="I383" t="s">
        <v>176</v>
      </c>
      <c r="J383">
        <v>10152000</v>
      </c>
      <c r="K383" t="s">
        <v>68</v>
      </c>
      <c r="L383" t="s">
        <v>776</v>
      </c>
      <c r="M383" s="1">
        <f>Data_Caso_Propuesto[[#This Row],[Precio]]</f>
        <v>10152000</v>
      </c>
      <c r="N383" s="1" t="str">
        <f>IFERROR(Data_Caso_Propuesto[[#This Row],[Precio]]/Data_Caso_Propuesto[[#This Row],[Area Terreno]],"")</f>
        <v/>
      </c>
      <c r="O383" s="1" t="str">
        <f>IFERROR((Data_Caso_Propuesto[[#This Row],[Precio]]/Data_Caso_Propuesto[[#This Row],[Area Terreno]])/1000000,"")</f>
        <v/>
      </c>
      <c r="P383" s="1"/>
    </row>
    <row r="384" spans="1:16" x14ac:dyDescent="0.25">
      <c r="A384" t="s">
        <v>823</v>
      </c>
      <c r="B384" t="s">
        <v>774</v>
      </c>
      <c r="C384" t="s">
        <v>139</v>
      </c>
      <c r="D384" t="s">
        <v>15</v>
      </c>
      <c r="E384" t="s">
        <v>824</v>
      </c>
      <c r="F384" s="3" t="s">
        <v>16</v>
      </c>
      <c r="G384" s="3" t="s">
        <v>16</v>
      </c>
      <c r="H384" t="s">
        <v>17</v>
      </c>
      <c r="I384" t="s">
        <v>176</v>
      </c>
      <c r="J384">
        <v>10152000</v>
      </c>
      <c r="K384" t="s">
        <v>68</v>
      </c>
      <c r="L384" t="s">
        <v>1096</v>
      </c>
      <c r="M384" s="1">
        <f>Data_Caso_Propuesto[[#This Row],[Precio]]</f>
        <v>10152000</v>
      </c>
      <c r="N384" s="1" t="str">
        <f>IFERROR(Data_Caso_Propuesto[[#This Row],[Precio]]/Data_Caso_Propuesto[[#This Row],[Area Terreno]],"")</f>
        <v/>
      </c>
      <c r="O384" s="1" t="str">
        <f>IFERROR((Data_Caso_Propuesto[[#This Row],[Precio]]/Data_Caso_Propuesto[[#This Row],[Area Terreno]])/1000000,"")</f>
        <v/>
      </c>
      <c r="P384" s="1"/>
    </row>
    <row r="385" spans="1:16" x14ac:dyDescent="0.25">
      <c r="A385" t="s">
        <v>825</v>
      </c>
      <c r="B385" t="s">
        <v>111</v>
      </c>
      <c r="C385" t="s">
        <v>112</v>
      </c>
      <c r="D385" t="s">
        <v>15</v>
      </c>
      <c r="E385" t="s">
        <v>826</v>
      </c>
      <c r="F385" s="3" t="s">
        <v>16</v>
      </c>
      <c r="G385" s="3" t="s">
        <v>16</v>
      </c>
      <c r="H385" t="s">
        <v>17</v>
      </c>
      <c r="I385" t="s">
        <v>61</v>
      </c>
      <c r="J385">
        <v>536766000</v>
      </c>
      <c r="K385" t="s">
        <v>62</v>
      </c>
      <c r="L385" t="s">
        <v>1084</v>
      </c>
      <c r="M385" s="1">
        <f>Data_Caso_Propuesto[[#This Row],[Precio]]</f>
        <v>536766000</v>
      </c>
      <c r="N385" s="1" t="str">
        <f>IFERROR(Data_Caso_Propuesto[[#This Row],[Precio]]/Data_Caso_Propuesto[[#This Row],[Area Terreno]],"")</f>
        <v/>
      </c>
      <c r="O385" s="1" t="str">
        <f>IFERROR((Data_Caso_Propuesto[[#This Row],[Precio]]/Data_Caso_Propuesto[[#This Row],[Area Terreno]])/1000000,"")</f>
        <v/>
      </c>
      <c r="P385" s="1"/>
    </row>
    <row r="386" spans="1:16" x14ac:dyDescent="0.25">
      <c r="A386" t="s">
        <v>827</v>
      </c>
      <c r="B386" t="s">
        <v>93</v>
      </c>
      <c r="C386" t="s">
        <v>45</v>
      </c>
      <c r="D386" t="s">
        <v>15</v>
      </c>
      <c r="E386" t="s">
        <v>828</v>
      </c>
      <c r="F386" s="3" t="s">
        <v>16</v>
      </c>
      <c r="G386" s="3" t="s">
        <v>16</v>
      </c>
      <c r="H386" t="s">
        <v>22</v>
      </c>
      <c r="I386" t="s">
        <v>23</v>
      </c>
      <c r="J386">
        <v>9800000</v>
      </c>
      <c r="K386" t="s">
        <v>102</v>
      </c>
      <c r="L386" t="s">
        <v>15</v>
      </c>
      <c r="M386" s="1">
        <f>Data_Caso_Propuesto[[#This Row],[Precio]]</f>
        <v>9800000</v>
      </c>
      <c r="N386" s="1" t="str">
        <f>IFERROR(Data_Caso_Propuesto[[#This Row],[Precio]]/Data_Caso_Propuesto[[#This Row],[Area Terreno]],"")</f>
        <v/>
      </c>
      <c r="O386" s="1" t="str">
        <f>IFERROR((Data_Caso_Propuesto[[#This Row],[Precio]]/Data_Caso_Propuesto[[#This Row],[Area Terreno]])/1000000,"")</f>
        <v/>
      </c>
      <c r="P386" s="1"/>
    </row>
    <row r="387" spans="1:16" x14ac:dyDescent="0.25">
      <c r="A387" t="s">
        <v>829</v>
      </c>
      <c r="B387" t="s">
        <v>93</v>
      </c>
      <c r="C387" t="s">
        <v>45</v>
      </c>
      <c r="D387" t="s">
        <v>15</v>
      </c>
      <c r="E387" t="s">
        <v>830</v>
      </c>
      <c r="F387" s="3" t="s">
        <v>16</v>
      </c>
      <c r="G387" s="3" t="s">
        <v>16</v>
      </c>
      <c r="H387" t="s">
        <v>22</v>
      </c>
      <c r="I387" t="s">
        <v>23</v>
      </c>
      <c r="J387">
        <v>9800000</v>
      </c>
      <c r="K387" t="s">
        <v>102</v>
      </c>
      <c r="L387" t="s">
        <v>15</v>
      </c>
      <c r="M387" s="1">
        <f>Data_Caso_Propuesto[[#This Row],[Precio]]</f>
        <v>9800000</v>
      </c>
      <c r="N387" s="1" t="str">
        <f>IFERROR(Data_Caso_Propuesto[[#This Row],[Precio]]/Data_Caso_Propuesto[[#This Row],[Area Terreno]],"")</f>
        <v/>
      </c>
      <c r="O387" s="1" t="str">
        <f>IFERROR((Data_Caso_Propuesto[[#This Row],[Precio]]/Data_Caso_Propuesto[[#This Row],[Area Terreno]])/1000000,"")</f>
        <v/>
      </c>
      <c r="P387" s="1"/>
    </row>
    <row r="388" spans="1:16" x14ac:dyDescent="0.25">
      <c r="A388" t="s">
        <v>831</v>
      </c>
      <c r="B388" t="s">
        <v>111</v>
      </c>
      <c r="C388" t="s">
        <v>112</v>
      </c>
      <c r="D388" t="s">
        <v>15</v>
      </c>
      <c r="E388" t="s">
        <v>832</v>
      </c>
      <c r="F388" s="3" t="s">
        <v>16</v>
      </c>
      <c r="G388" s="3" t="s">
        <v>16</v>
      </c>
      <c r="H388" t="s">
        <v>17</v>
      </c>
      <c r="I388" t="s">
        <v>61</v>
      </c>
      <c r="J388">
        <v>518482000</v>
      </c>
      <c r="K388" t="s">
        <v>62</v>
      </c>
      <c r="L388" t="s">
        <v>1084</v>
      </c>
      <c r="M388" s="1">
        <f>Data_Caso_Propuesto[[#This Row],[Precio]]</f>
        <v>518482000</v>
      </c>
      <c r="N388" s="1" t="str">
        <f>IFERROR(Data_Caso_Propuesto[[#This Row],[Precio]]/Data_Caso_Propuesto[[#This Row],[Area Terreno]],"")</f>
        <v/>
      </c>
      <c r="O388" s="1" t="str">
        <f>IFERROR((Data_Caso_Propuesto[[#This Row],[Precio]]/Data_Caso_Propuesto[[#This Row],[Area Terreno]])/1000000,"")</f>
        <v/>
      </c>
      <c r="P388" s="1"/>
    </row>
    <row r="389" spans="1:16" x14ac:dyDescent="0.25">
      <c r="A389" t="s">
        <v>833</v>
      </c>
      <c r="B389" t="s">
        <v>93</v>
      </c>
      <c r="C389" t="s">
        <v>45</v>
      </c>
      <c r="D389" t="s">
        <v>15</v>
      </c>
      <c r="E389" t="s">
        <v>834</v>
      </c>
      <c r="F389" s="3" t="s">
        <v>16</v>
      </c>
      <c r="G389" s="3" t="s">
        <v>16</v>
      </c>
      <c r="H389" t="s">
        <v>22</v>
      </c>
      <c r="I389" t="s">
        <v>23</v>
      </c>
      <c r="J389">
        <v>8624000</v>
      </c>
      <c r="K389" t="s">
        <v>102</v>
      </c>
      <c r="L389" t="s">
        <v>15</v>
      </c>
      <c r="M389" s="1">
        <f>Data_Caso_Propuesto[[#This Row],[Precio]]</f>
        <v>8624000</v>
      </c>
      <c r="N389" s="1" t="str">
        <f>IFERROR(Data_Caso_Propuesto[[#This Row],[Precio]]/Data_Caso_Propuesto[[#This Row],[Area Terreno]],"")</f>
        <v/>
      </c>
      <c r="O389" s="1" t="str">
        <f>IFERROR((Data_Caso_Propuesto[[#This Row],[Precio]]/Data_Caso_Propuesto[[#This Row],[Area Terreno]])/1000000,"")</f>
        <v/>
      </c>
      <c r="P389" s="1"/>
    </row>
    <row r="390" spans="1:16" x14ac:dyDescent="0.25">
      <c r="A390" t="s">
        <v>835</v>
      </c>
      <c r="B390" t="s">
        <v>93</v>
      </c>
      <c r="C390" t="s">
        <v>45</v>
      </c>
      <c r="D390" t="s">
        <v>15</v>
      </c>
      <c r="E390" t="s">
        <v>836</v>
      </c>
      <c r="F390" s="3" t="s">
        <v>16</v>
      </c>
      <c r="G390" s="3" t="s">
        <v>16</v>
      </c>
      <c r="H390" t="s">
        <v>22</v>
      </c>
      <c r="I390" t="s">
        <v>23</v>
      </c>
      <c r="J390">
        <v>8379000</v>
      </c>
      <c r="K390" t="s">
        <v>102</v>
      </c>
      <c r="L390" t="s">
        <v>15</v>
      </c>
      <c r="M390" s="1">
        <f>Data_Caso_Propuesto[[#This Row],[Precio]]</f>
        <v>8379000</v>
      </c>
      <c r="N390" s="1" t="str">
        <f>IFERROR(Data_Caso_Propuesto[[#This Row],[Precio]]/Data_Caso_Propuesto[[#This Row],[Area Terreno]],"")</f>
        <v/>
      </c>
      <c r="O390" s="1" t="str">
        <f>IFERROR((Data_Caso_Propuesto[[#This Row],[Precio]]/Data_Caso_Propuesto[[#This Row],[Area Terreno]])/1000000,"")</f>
        <v/>
      </c>
      <c r="P390" s="1"/>
    </row>
    <row r="391" spans="1:16" x14ac:dyDescent="0.25">
      <c r="A391" t="s">
        <v>837</v>
      </c>
      <c r="B391" t="s">
        <v>320</v>
      </c>
      <c r="C391" t="s">
        <v>14</v>
      </c>
      <c r="D391" t="s">
        <v>15</v>
      </c>
      <c r="E391" t="s">
        <v>1097</v>
      </c>
      <c r="F391" s="3" t="s">
        <v>16</v>
      </c>
      <c r="G391" s="3" t="s">
        <v>16</v>
      </c>
      <c r="H391" t="s">
        <v>17</v>
      </c>
      <c r="I391" t="s">
        <v>23</v>
      </c>
      <c r="J391">
        <v>5527387985</v>
      </c>
      <c r="K391" t="s">
        <v>102</v>
      </c>
      <c r="L391" t="s">
        <v>15</v>
      </c>
      <c r="M391" s="1">
        <f>Data_Caso_Propuesto[[#This Row],[Precio]]</f>
        <v>5527387985</v>
      </c>
      <c r="N391" s="1" t="str">
        <f>IFERROR(Data_Caso_Propuesto[[#This Row],[Precio]]/Data_Caso_Propuesto[[#This Row],[Area Terreno]],"")</f>
        <v/>
      </c>
      <c r="O391" s="1" t="str">
        <f>IFERROR((Data_Caso_Propuesto[[#This Row],[Precio]]/Data_Caso_Propuesto[[#This Row],[Area Terreno]])/1000000,"")</f>
        <v/>
      </c>
      <c r="P391" s="1"/>
    </row>
    <row r="392" spans="1:16" x14ac:dyDescent="0.25">
      <c r="A392" t="s">
        <v>838</v>
      </c>
      <c r="B392" t="s">
        <v>93</v>
      </c>
      <c r="C392" t="s">
        <v>45</v>
      </c>
      <c r="D392" t="s">
        <v>15</v>
      </c>
      <c r="E392" t="s">
        <v>839</v>
      </c>
      <c r="F392" s="3" t="s">
        <v>16</v>
      </c>
      <c r="G392" s="3" t="s">
        <v>16</v>
      </c>
      <c r="H392" t="s">
        <v>22</v>
      </c>
      <c r="I392" t="s">
        <v>23</v>
      </c>
      <c r="J392">
        <v>7350000</v>
      </c>
      <c r="K392" t="s">
        <v>102</v>
      </c>
      <c r="L392" t="s">
        <v>15</v>
      </c>
      <c r="M392" s="1">
        <f>Data_Caso_Propuesto[[#This Row],[Precio]]</f>
        <v>7350000</v>
      </c>
      <c r="N392" s="1" t="str">
        <f>IFERROR(Data_Caso_Propuesto[[#This Row],[Precio]]/Data_Caso_Propuesto[[#This Row],[Area Terreno]],"")</f>
        <v/>
      </c>
      <c r="O392" s="1" t="str">
        <f>IFERROR((Data_Caso_Propuesto[[#This Row],[Precio]]/Data_Caso_Propuesto[[#This Row],[Area Terreno]])/1000000,"")</f>
        <v/>
      </c>
      <c r="P392" s="1"/>
    </row>
    <row r="393" spans="1:16" x14ac:dyDescent="0.25">
      <c r="A393" t="s">
        <v>840</v>
      </c>
      <c r="B393" t="s">
        <v>93</v>
      </c>
      <c r="C393" t="s">
        <v>45</v>
      </c>
      <c r="D393" t="s">
        <v>15</v>
      </c>
      <c r="E393" t="s">
        <v>841</v>
      </c>
      <c r="F393" s="3" t="s">
        <v>16</v>
      </c>
      <c r="G393" s="3" t="s">
        <v>16</v>
      </c>
      <c r="H393" t="s">
        <v>22</v>
      </c>
      <c r="I393" t="s">
        <v>23</v>
      </c>
      <c r="J393">
        <v>7350000</v>
      </c>
      <c r="K393" t="s">
        <v>102</v>
      </c>
      <c r="L393" t="s">
        <v>15</v>
      </c>
      <c r="M393" s="1">
        <f>Data_Caso_Propuesto[[#This Row],[Precio]]</f>
        <v>7350000</v>
      </c>
      <c r="N393" s="1" t="str">
        <f>IFERROR(Data_Caso_Propuesto[[#This Row],[Precio]]/Data_Caso_Propuesto[[#This Row],[Area Terreno]],"")</f>
        <v/>
      </c>
      <c r="O393" s="1" t="str">
        <f>IFERROR((Data_Caso_Propuesto[[#This Row],[Precio]]/Data_Caso_Propuesto[[#This Row],[Area Terreno]])/1000000,"")</f>
        <v/>
      </c>
      <c r="P393" s="1"/>
    </row>
    <row r="394" spans="1:16" x14ac:dyDescent="0.25">
      <c r="A394" t="s">
        <v>842</v>
      </c>
      <c r="B394" t="s">
        <v>93</v>
      </c>
      <c r="C394" t="s">
        <v>45</v>
      </c>
      <c r="D394" t="s">
        <v>15</v>
      </c>
      <c r="E394" t="s">
        <v>843</v>
      </c>
      <c r="F394" s="3" t="s">
        <v>16</v>
      </c>
      <c r="G394" s="3" t="s">
        <v>16</v>
      </c>
      <c r="H394" t="s">
        <v>22</v>
      </c>
      <c r="I394" t="s">
        <v>23</v>
      </c>
      <c r="J394">
        <v>7350000</v>
      </c>
      <c r="K394" t="s">
        <v>102</v>
      </c>
      <c r="L394" t="s">
        <v>15</v>
      </c>
      <c r="M394" s="1">
        <f>Data_Caso_Propuesto[[#This Row],[Precio]]</f>
        <v>7350000</v>
      </c>
      <c r="N394" s="1" t="str">
        <f>IFERROR(Data_Caso_Propuesto[[#This Row],[Precio]]/Data_Caso_Propuesto[[#This Row],[Area Terreno]],"")</f>
        <v/>
      </c>
      <c r="O394" s="1" t="str">
        <f>IFERROR((Data_Caso_Propuesto[[#This Row],[Precio]]/Data_Caso_Propuesto[[#This Row],[Area Terreno]])/1000000,"")</f>
        <v/>
      </c>
      <c r="P394" s="1"/>
    </row>
    <row r="395" spans="1:16" x14ac:dyDescent="0.25">
      <c r="A395" t="s">
        <v>844</v>
      </c>
      <c r="B395" t="s">
        <v>93</v>
      </c>
      <c r="C395" t="s">
        <v>45</v>
      </c>
      <c r="D395" t="s">
        <v>15</v>
      </c>
      <c r="E395" t="s">
        <v>845</v>
      </c>
      <c r="F395" s="3" t="s">
        <v>16</v>
      </c>
      <c r="G395" s="3" t="s">
        <v>16</v>
      </c>
      <c r="H395" t="s">
        <v>22</v>
      </c>
      <c r="I395" t="s">
        <v>23</v>
      </c>
      <c r="J395">
        <v>7350000</v>
      </c>
      <c r="K395" t="s">
        <v>102</v>
      </c>
      <c r="L395" t="s">
        <v>15</v>
      </c>
      <c r="M395" s="1">
        <f>Data_Caso_Propuesto[[#This Row],[Precio]]</f>
        <v>7350000</v>
      </c>
      <c r="N395" s="1" t="str">
        <f>IFERROR(Data_Caso_Propuesto[[#This Row],[Precio]]/Data_Caso_Propuesto[[#This Row],[Area Terreno]],"")</f>
        <v/>
      </c>
      <c r="O395" s="1" t="str">
        <f>IFERROR((Data_Caso_Propuesto[[#This Row],[Precio]]/Data_Caso_Propuesto[[#This Row],[Area Terreno]])/1000000,"")</f>
        <v/>
      </c>
      <c r="P395" s="1"/>
    </row>
    <row r="396" spans="1:16" x14ac:dyDescent="0.25">
      <c r="A396" t="s">
        <v>846</v>
      </c>
      <c r="B396" t="s">
        <v>93</v>
      </c>
      <c r="C396" t="s">
        <v>45</v>
      </c>
      <c r="D396" t="s">
        <v>15</v>
      </c>
      <c r="E396" t="s">
        <v>847</v>
      </c>
      <c r="F396" s="3" t="s">
        <v>16</v>
      </c>
      <c r="G396" s="3" t="s">
        <v>16</v>
      </c>
      <c r="H396" t="s">
        <v>22</v>
      </c>
      <c r="I396" t="s">
        <v>23</v>
      </c>
      <c r="J396">
        <v>7350000</v>
      </c>
      <c r="K396" t="s">
        <v>102</v>
      </c>
      <c r="L396" t="s">
        <v>15</v>
      </c>
      <c r="M396" s="1">
        <f>Data_Caso_Propuesto[[#This Row],[Precio]]</f>
        <v>7350000</v>
      </c>
      <c r="N396" s="1" t="str">
        <f>IFERROR(Data_Caso_Propuesto[[#This Row],[Precio]]/Data_Caso_Propuesto[[#This Row],[Area Terreno]],"")</f>
        <v/>
      </c>
      <c r="O396" s="1" t="str">
        <f>IFERROR((Data_Caso_Propuesto[[#This Row],[Precio]]/Data_Caso_Propuesto[[#This Row],[Area Terreno]])/1000000,"")</f>
        <v/>
      </c>
      <c r="P396" s="1"/>
    </row>
    <row r="397" spans="1:16" x14ac:dyDescent="0.25">
      <c r="A397" t="s">
        <v>848</v>
      </c>
      <c r="B397" t="s">
        <v>93</v>
      </c>
      <c r="C397" t="s">
        <v>45</v>
      </c>
      <c r="D397" t="s">
        <v>15</v>
      </c>
      <c r="E397" t="s">
        <v>849</v>
      </c>
      <c r="F397" s="3" t="s">
        <v>16</v>
      </c>
      <c r="G397" s="3" t="s">
        <v>16</v>
      </c>
      <c r="H397" t="s">
        <v>22</v>
      </c>
      <c r="I397" t="s">
        <v>23</v>
      </c>
      <c r="J397">
        <v>7350000</v>
      </c>
      <c r="K397" t="s">
        <v>102</v>
      </c>
      <c r="L397" t="s">
        <v>15</v>
      </c>
      <c r="M397" s="1">
        <f>Data_Caso_Propuesto[[#This Row],[Precio]]</f>
        <v>7350000</v>
      </c>
      <c r="N397" s="1" t="str">
        <f>IFERROR(Data_Caso_Propuesto[[#This Row],[Precio]]/Data_Caso_Propuesto[[#This Row],[Area Terreno]],"")</f>
        <v/>
      </c>
      <c r="O397" s="1" t="str">
        <f>IFERROR((Data_Caso_Propuesto[[#This Row],[Precio]]/Data_Caso_Propuesto[[#This Row],[Area Terreno]])/1000000,"")</f>
        <v/>
      </c>
      <c r="P397" s="1"/>
    </row>
    <row r="398" spans="1:16" x14ac:dyDescent="0.25">
      <c r="A398" t="s">
        <v>850</v>
      </c>
      <c r="B398" t="s">
        <v>93</v>
      </c>
      <c r="C398" t="s">
        <v>45</v>
      </c>
      <c r="D398" t="s">
        <v>15</v>
      </c>
      <c r="E398" t="s">
        <v>851</v>
      </c>
      <c r="F398" s="3" t="s">
        <v>16</v>
      </c>
      <c r="G398" s="3" t="s">
        <v>16</v>
      </c>
      <c r="H398" t="s">
        <v>22</v>
      </c>
      <c r="I398" t="s">
        <v>23</v>
      </c>
      <c r="J398">
        <v>7350000</v>
      </c>
      <c r="K398" t="s">
        <v>102</v>
      </c>
      <c r="L398" t="s">
        <v>15</v>
      </c>
      <c r="M398" s="1">
        <f>Data_Caso_Propuesto[[#This Row],[Precio]]</f>
        <v>7350000</v>
      </c>
      <c r="N398" s="1" t="str">
        <f>IFERROR(Data_Caso_Propuesto[[#This Row],[Precio]]/Data_Caso_Propuesto[[#This Row],[Area Terreno]],"")</f>
        <v/>
      </c>
      <c r="O398" s="1" t="str">
        <f>IFERROR((Data_Caso_Propuesto[[#This Row],[Precio]]/Data_Caso_Propuesto[[#This Row],[Area Terreno]])/1000000,"")</f>
        <v/>
      </c>
      <c r="P398" s="1"/>
    </row>
    <row r="399" spans="1:16" x14ac:dyDescent="0.25">
      <c r="A399" t="s">
        <v>852</v>
      </c>
      <c r="B399" t="s">
        <v>93</v>
      </c>
      <c r="C399" t="s">
        <v>45</v>
      </c>
      <c r="D399" t="s">
        <v>15</v>
      </c>
      <c r="E399" t="s">
        <v>853</v>
      </c>
      <c r="F399" s="3" t="s">
        <v>16</v>
      </c>
      <c r="G399" s="3" t="s">
        <v>16</v>
      </c>
      <c r="H399" t="s">
        <v>22</v>
      </c>
      <c r="I399" t="s">
        <v>23</v>
      </c>
      <c r="J399">
        <v>7350000</v>
      </c>
      <c r="K399" t="s">
        <v>102</v>
      </c>
      <c r="L399" t="s">
        <v>15</v>
      </c>
      <c r="M399" s="1">
        <f>Data_Caso_Propuesto[[#This Row],[Precio]]</f>
        <v>7350000</v>
      </c>
      <c r="N399" s="1" t="str">
        <f>IFERROR(Data_Caso_Propuesto[[#This Row],[Precio]]/Data_Caso_Propuesto[[#This Row],[Area Terreno]],"")</f>
        <v/>
      </c>
      <c r="O399" s="1" t="str">
        <f>IFERROR((Data_Caso_Propuesto[[#This Row],[Precio]]/Data_Caso_Propuesto[[#This Row],[Area Terreno]])/1000000,"")</f>
        <v/>
      </c>
      <c r="P399" s="1"/>
    </row>
    <row r="400" spans="1:16" x14ac:dyDescent="0.25">
      <c r="A400" t="s">
        <v>854</v>
      </c>
      <c r="B400" t="s">
        <v>93</v>
      </c>
      <c r="C400" t="s">
        <v>45</v>
      </c>
      <c r="D400" t="s">
        <v>15</v>
      </c>
      <c r="E400" t="s">
        <v>855</v>
      </c>
      <c r="F400" s="3" t="s">
        <v>16</v>
      </c>
      <c r="G400" s="3" t="s">
        <v>16</v>
      </c>
      <c r="H400" t="s">
        <v>22</v>
      </c>
      <c r="I400" t="s">
        <v>23</v>
      </c>
      <c r="J400">
        <v>7350000</v>
      </c>
      <c r="K400" t="s">
        <v>102</v>
      </c>
      <c r="L400" t="s">
        <v>15</v>
      </c>
      <c r="M400" s="1">
        <f>Data_Caso_Propuesto[[#This Row],[Precio]]</f>
        <v>7350000</v>
      </c>
      <c r="N400" s="1" t="str">
        <f>IFERROR(Data_Caso_Propuesto[[#This Row],[Precio]]/Data_Caso_Propuesto[[#This Row],[Area Terreno]],"")</f>
        <v/>
      </c>
      <c r="O400" s="1" t="str">
        <f>IFERROR((Data_Caso_Propuesto[[#This Row],[Precio]]/Data_Caso_Propuesto[[#This Row],[Area Terreno]])/1000000,"")</f>
        <v/>
      </c>
      <c r="P400" s="1"/>
    </row>
    <row r="401" spans="1:16" x14ac:dyDescent="0.25">
      <c r="A401" t="s">
        <v>856</v>
      </c>
      <c r="B401" t="s">
        <v>93</v>
      </c>
      <c r="C401" t="s">
        <v>45</v>
      </c>
      <c r="D401" t="s">
        <v>15</v>
      </c>
      <c r="E401" t="s">
        <v>857</v>
      </c>
      <c r="F401" s="3" t="s">
        <v>16</v>
      </c>
      <c r="G401" s="3" t="s">
        <v>16</v>
      </c>
      <c r="H401" t="s">
        <v>22</v>
      </c>
      <c r="I401" t="s">
        <v>23</v>
      </c>
      <c r="J401">
        <v>7350000</v>
      </c>
      <c r="K401" t="s">
        <v>102</v>
      </c>
      <c r="L401" t="s">
        <v>15</v>
      </c>
      <c r="M401" s="1">
        <f>Data_Caso_Propuesto[[#This Row],[Precio]]</f>
        <v>7350000</v>
      </c>
      <c r="N401" s="1" t="str">
        <f>IFERROR(Data_Caso_Propuesto[[#This Row],[Precio]]/Data_Caso_Propuesto[[#This Row],[Area Terreno]],"")</f>
        <v/>
      </c>
      <c r="O401" s="1" t="str">
        <f>IFERROR((Data_Caso_Propuesto[[#This Row],[Precio]]/Data_Caso_Propuesto[[#This Row],[Area Terreno]])/1000000,"")</f>
        <v/>
      </c>
      <c r="P401" s="1"/>
    </row>
    <row r="402" spans="1:16" x14ac:dyDescent="0.25">
      <c r="A402" t="s">
        <v>858</v>
      </c>
      <c r="B402" t="s">
        <v>93</v>
      </c>
      <c r="C402" t="s">
        <v>45</v>
      </c>
      <c r="D402" t="s">
        <v>15</v>
      </c>
      <c r="E402" t="s">
        <v>859</v>
      </c>
      <c r="F402" s="3" t="s">
        <v>16</v>
      </c>
      <c r="G402" s="3" t="s">
        <v>16</v>
      </c>
      <c r="H402" t="s">
        <v>22</v>
      </c>
      <c r="I402" t="s">
        <v>23</v>
      </c>
      <c r="J402">
        <v>7350000</v>
      </c>
      <c r="K402" t="s">
        <v>102</v>
      </c>
      <c r="L402" t="s">
        <v>15</v>
      </c>
      <c r="M402" s="1">
        <f>Data_Caso_Propuesto[[#This Row],[Precio]]</f>
        <v>7350000</v>
      </c>
      <c r="N402" s="1" t="str">
        <f>IFERROR(Data_Caso_Propuesto[[#This Row],[Precio]]/Data_Caso_Propuesto[[#This Row],[Area Terreno]],"")</f>
        <v/>
      </c>
      <c r="O402" s="1" t="str">
        <f>IFERROR((Data_Caso_Propuesto[[#This Row],[Precio]]/Data_Caso_Propuesto[[#This Row],[Area Terreno]])/1000000,"")</f>
        <v/>
      </c>
      <c r="P402" s="1"/>
    </row>
    <row r="403" spans="1:16" x14ac:dyDescent="0.25">
      <c r="A403" t="s">
        <v>860</v>
      </c>
      <c r="B403" t="s">
        <v>93</v>
      </c>
      <c r="C403" t="s">
        <v>45</v>
      </c>
      <c r="D403" t="s">
        <v>15</v>
      </c>
      <c r="E403" t="s">
        <v>861</v>
      </c>
      <c r="F403" s="3" t="s">
        <v>16</v>
      </c>
      <c r="G403" s="3" t="s">
        <v>16</v>
      </c>
      <c r="H403" t="s">
        <v>22</v>
      </c>
      <c r="I403" t="s">
        <v>23</v>
      </c>
      <c r="J403">
        <v>7350000</v>
      </c>
      <c r="K403" t="s">
        <v>102</v>
      </c>
      <c r="L403" t="s">
        <v>15</v>
      </c>
      <c r="M403" s="1">
        <f>Data_Caso_Propuesto[[#This Row],[Precio]]</f>
        <v>7350000</v>
      </c>
      <c r="N403" s="1" t="str">
        <f>IFERROR(Data_Caso_Propuesto[[#This Row],[Precio]]/Data_Caso_Propuesto[[#This Row],[Area Terreno]],"")</f>
        <v/>
      </c>
      <c r="O403" s="1" t="str">
        <f>IFERROR((Data_Caso_Propuesto[[#This Row],[Precio]]/Data_Caso_Propuesto[[#This Row],[Area Terreno]])/1000000,"")</f>
        <v/>
      </c>
      <c r="P403" s="1"/>
    </row>
    <row r="404" spans="1:16" x14ac:dyDescent="0.25">
      <c r="A404" t="s">
        <v>862</v>
      </c>
      <c r="B404" t="s">
        <v>93</v>
      </c>
      <c r="C404" t="s">
        <v>45</v>
      </c>
      <c r="D404" t="s">
        <v>15</v>
      </c>
      <c r="E404" t="s">
        <v>863</v>
      </c>
      <c r="F404" s="3" t="s">
        <v>16</v>
      </c>
      <c r="G404" s="3" t="s">
        <v>16</v>
      </c>
      <c r="H404" t="s">
        <v>22</v>
      </c>
      <c r="I404" t="s">
        <v>23</v>
      </c>
      <c r="J404">
        <v>7350000</v>
      </c>
      <c r="K404" t="s">
        <v>102</v>
      </c>
      <c r="L404" t="s">
        <v>15</v>
      </c>
      <c r="M404" s="1">
        <f>Data_Caso_Propuesto[[#This Row],[Precio]]</f>
        <v>7350000</v>
      </c>
      <c r="N404" s="1" t="str">
        <f>IFERROR(Data_Caso_Propuesto[[#This Row],[Precio]]/Data_Caso_Propuesto[[#This Row],[Area Terreno]],"")</f>
        <v/>
      </c>
      <c r="O404" s="1" t="str">
        <f>IFERROR((Data_Caso_Propuesto[[#This Row],[Precio]]/Data_Caso_Propuesto[[#This Row],[Area Terreno]])/1000000,"")</f>
        <v/>
      </c>
      <c r="P404" s="1"/>
    </row>
    <row r="405" spans="1:16" x14ac:dyDescent="0.25">
      <c r="A405" t="s">
        <v>864</v>
      </c>
      <c r="B405" t="s">
        <v>93</v>
      </c>
      <c r="C405" t="s">
        <v>45</v>
      </c>
      <c r="D405" t="s">
        <v>15</v>
      </c>
      <c r="E405" t="s">
        <v>865</v>
      </c>
      <c r="F405" s="3" t="s">
        <v>16</v>
      </c>
      <c r="G405" s="3" t="s">
        <v>16</v>
      </c>
      <c r="H405" t="s">
        <v>22</v>
      </c>
      <c r="I405" t="s">
        <v>23</v>
      </c>
      <c r="J405">
        <v>7350000</v>
      </c>
      <c r="K405" t="s">
        <v>102</v>
      </c>
      <c r="L405" t="s">
        <v>15</v>
      </c>
      <c r="M405" s="1">
        <f>Data_Caso_Propuesto[[#This Row],[Precio]]</f>
        <v>7350000</v>
      </c>
      <c r="N405" s="1" t="str">
        <f>IFERROR(Data_Caso_Propuesto[[#This Row],[Precio]]/Data_Caso_Propuesto[[#This Row],[Area Terreno]],"")</f>
        <v/>
      </c>
      <c r="O405" s="1" t="str">
        <f>IFERROR((Data_Caso_Propuesto[[#This Row],[Precio]]/Data_Caso_Propuesto[[#This Row],[Area Terreno]])/1000000,"")</f>
        <v/>
      </c>
      <c r="P405" s="1"/>
    </row>
    <row r="406" spans="1:16" x14ac:dyDescent="0.25">
      <c r="A406" t="s">
        <v>866</v>
      </c>
      <c r="B406" t="s">
        <v>93</v>
      </c>
      <c r="C406" t="s">
        <v>45</v>
      </c>
      <c r="D406" t="s">
        <v>15</v>
      </c>
      <c r="E406" t="s">
        <v>867</v>
      </c>
      <c r="F406" s="3" t="s">
        <v>16</v>
      </c>
      <c r="G406" s="3" t="s">
        <v>16</v>
      </c>
      <c r="H406" t="s">
        <v>22</v>
      </c>
      <c r="I406" t="s">
        <v>23</v>
      </c>
      <c r="J406">
        <v>7350000</v>
      </c>
      <c r="K406" t="s">
        <v>102</v>
      </c>
      <c r="L406" t="s">
        <v>15</v>
      </c>
      <c r="M406" s="1">
        <f>Data_Caso_Propuesto[[#This Row],[Precio]]</f>
        <v>7350000</v>
      </c>
      <c r="N406" s="1" t="str">
        <f>IFERROR(Data_Caso_Propuesto[[#This Row],[Precio]]/Data_Caso_Propuesto[[#This Row],[Area Terreno]],"")</f>
        <v/>
      </c>
      <c r="O406" s="1" t="str">
        <f>IFERROR((Data_Caso_Propuesto[[#This Row],[Precio]]/Data_Caso_Propuesto[[#This Row],[Area Terreno]])/1000000,"")</f>
        <v/>
      </c>
      <c r="P406" s="1"/>
    </row>
    <row r="407" spans="1:16" x14ac:dyDescent="0.25">
      <c r="A407" t="s">
        <v>868</v>
      </c>
      <c r="B407" t="s">
        <v>93</v>
      </c>
      <c r="C407" t="s">
        <v>45</v>
      </c>
      <c r="D407" t="s">
        <v>15</v>
      </c>
      <c r="E407" t="s">
        <v>869</v>
      </c>
      <c r="F407" s="3" t="s">
        <v>16</v>
      </c>
      <c r="G407" s="3" t="s">
        <v>16</v>
      </c>
      <c r="H407" t="s">
        <v>22</v>
      </c>
      <c r="I407" t="s">
        <v>23</v>
      </c>
      <c r="J407">
        <v>7350000</v>
      </c>
      <c r="K407" t="s">
        <v>102</v>
      </c>
      <c r="L407" t="s">
        <v>15</v>
      </c>
      <c r="M407" s="1">
        <f>Data_Caso_Propuesto[[#This Row],[Precio]]</f>
        <v>7350000</v>
      </c>
      <c r="N407" s="1" t="str">
        <f>IFERROR(Data_Caso_Propuesto[[#This Row],[Precio]]/Data_Caso_Propuesto[[#This Row],[Area Terreno]],"")</f>
        <v/>
      </c>
      <c r="O407" s="1" t="str">
        <f>IFERROR((Data_Caso_Propuesto[[#This Row],[Precio]]/Data_Caso_Propuesto[[#This Row],[Area Terreno]])/1000000,"")</f>
        <v/>
      </c>
      <c r="P407" s="1"/>
    </row>
    <row r="408" spans="1:16" x14ac:dyDescent="0.25">
      <c r="A408" t="s">
        <v>870</v>
      </c>
      <c r="B408" t="s">
        <v>93</v>
      </c>
      <c r="C408" t="s">
        <v>45</v>
      </c>
      <c r="D408" t="s">
        <v>15</v>
      </c>
      <c r="E408" t="s">
        <v>871</v>
      </c>
      <c r="F408" s="3" t="s">
        <v>16</v>
      </c>
      <c r="G408" s="3" t="s">
        <v>16</v>
      </c>
      <c r="H408" t="s">
        <v>22</v>
      </c>
      <c r="I408" t="s">
        <v>23</v>
      </c>
      <c r="J408">
        <v>7350000</v>
      </c>
      <c r="K408" t="s">
        <v>102</v>
      </c>
      <c r="L408" t="s">
        <v>15</v>
      </c>
      <c r="M408" s="1">
        <f>Data_Caso_Propuesto[[#This Row],[Precio]]</f>
        <v>7350000</v>
      </c>
      <c r="N408" s="1" t="str">
        <f>IFERROR(Data_Caso_Propuesto[[#This Row],[Precio]]/Data_Caso_Propuesto[[#This Row],[Area Terreno]],"")</f>
        <v/>
      </c>
      <c r="O408" s="1" t="str">
        <f>IFERROR((Data_Caso_Propuesto[[#This Row],[Precio]]/Data_Caso_Propuesto[[#This Row],[Area Terreno]])/1000000,"")</f>
        <v/>
      </c>
      <c r="P408" s="1"/>
    </row>
    <row r="409" spans="1:16" x14ac:dyDescent="0.25">
      <c r="A409" t="s">
        <v>872</v>
      </c>
      <c r="B409" t="s">
        <v>93</v>
      </c>
      <c r="C409" t="s">
        <v>45</v>
      </c>
      <c r="D409" t="s">
        <v>15</v>
      </c>
      <c r="E409" t="s">
        <v>873</v>
      </c>
      <c r="F409" s="3" t="s">
        <v>16</v>
      </c>
      <c r="G409" s="3" t="s">
        <v>16</v>
      </c>
      <c r="H409" t="s">
        <v>22</v>
      </c>
      <c r="I409" t="s">
        <v>23</v>
      </c>
      <c r="J409">
        <v>7350000</v>
      </c>
      <c r="K409" t="s">
        <v>102</v>
      </c>
      <c r="L409" t="s">
        <v>15</v>
      </c>
      <c r="M409" s="1">
        <f>Data_Caso_Propuesto[[#This Row],[Precio]]</f>
        <v>7350000</v>
      </c>
      <c r="N409" s="1" t="str">
        <f>IFERROR(Data_Caso_Propuesto[[#This Row],[Precio]]/Data_Caso_Propuesto[[#This Row],[Area Terreno]],"")</f>
        <v/>
      </c>
      <c r="O409" s="1" t="str">
        <f>IFERROR((Data_Caso_Propuesto[[#This Row],[Precio]]/Data_Caso_Propuesto[[#This Row],[Area Terreno]])/1000000,"")</f>
        <v/>
      </c>
      <c r="P409" s="1"/>
    </row>
    <row r="410" spans="1:16" x14ac:dyDescent="0.25">
      <c r="A410" t="s">
        <v>874</v>
      </c>
      <c r="B410" t="s">
        <v>93</v>
      </c>
      <c r="C410" t="s">
        <v>45</v>
      </c>
      <c r="D410" t="s">
        <v>15</v>
      </c>
      <c r="E410" t="s">
        <v>875</v>
      </c>
      <c r="F410" s="3" t="s">
        <v>16</v>
      </c>
      <c r="G410" s="3" t="s">
        <v>16</v>
      </c>
      <c r="H410" t="s">
        <v>22</v>
      </c>
      <c r="I410" t="s">
        <v>23</v>
      </c>
      <c r="J410">
        <v>7350000</v>
      </c>
      <c r="K410" t="s">
        <v>102</v>
      </c>
      <c r="L410" t="s">
        <v>15</v>
      </c>
      <c r="M410" s="1">
        <f>Data_Caso_Propuesto[[#This Row],[Precio]]</f>
        <v>7350000</v>
      </c>
      <c r="N410" s="1" t="str">
        <f>IFERROR(Data_Caso_Propuesto[[#This Row],[Precio]]/Data_Caso_Propuesto[[#This Row],[Area Terreno]],"")</f>
        <v/>
      </c>
      <c r="O410" s="1" t="str">
        <f>IFERROR((Data_Caso_Propuesto[[#This Row],[Precio]]/Data_Caso_Propuesto[[#This Row],[Area Terreno]])/1000000,"")</f>
        <v/>
      </c>
      <c r="P410" s="1"/>
    </row>
    <row r="411" spans="1:16" x14ac:dyDescent="0.25">
      <c r="A411" t="s">
        <v>876</v>
      </c>
      <c r="B411" t="s">
        <v>93</v>
      </c>
      <c r="C411" t="s">
        <v>45</v>
      </c>
      <c r="D411" t="s">
        <v>15</v>
      </c>
      <c r="E411" t="s">
        <v>877</v>
      </c>
      <c r="F411" s="3" t="s">
        <v>16</v>
      </c>
      <c r="G411" s="3" t="s">
        <v>16</v>
      </c>
      <c r="H411" t="s">
        <v>22</v>
      </c>
      <c r="I411" t="s">
        <v>23</v>
      </c>
      <c r="J411">
        <v>7350000</v>
      </c>
      <c r="K411" t="s">
        <v>102</v>
      </c>
      <c r="L411" t="s">
        <v>15</v>
      </c>
      <c r="M411" s="1">
        <f>Data_Caso_Propuesto[[#This Row],[Precio]]</f>
        <v>7350000</v>
      </c>
      <c r="N411" s="1" t="str">
        <f>IFERROR(Data_Caso_Propuesto[[#This Row],[Precio]]/Data_Caso_Propuesto[[#This Row],[Area Terreno]],"")</f>
        <v/>
      </c>
      <c r="O411" s="1" t="str">
        <f>IFERROR((Data_Caso_Propuesto[[#This Row],[Precio]]/Data_Caso_Propuesto[[#This Row],[Area Terreno]])/1000000,"")</f>
        <v/>
      </c>
      <c r="P411" s="1"/>
    </row>
    <row r="412" spans="1:16" x14ac:dyDescent="0.25">
      <c r="A412" t="s">
        <v>878</v>
      </c>
      <c r="B412" t="s">
        <v>93</v>
      </c>
      <c r="C412" t="s">
        <v>45</v>
      </c>
      <c r="D412" t="s">
        <v>15</v>
      </c>
      <c r="E412" t="s">
        <v>879</v>
      </c>
      <c r="F412" s="3" t="s">
        <v>16</v>
      </c>
      <c r="G412" s="3" t="s">
        <v>16</v>
      </c>
      <c r="H412" t="s">
        <v>22</v>
      </c>
      <c r="I412" t="s">
        <v>23</v>
      </c>
      <c r="J412">
        <v>7350000</v>
      </c>
      <c r="K412" t="s">
        <v>102</v>
      </c>
      <c r="L412" t="s">
        <v>15</v>
      </c>
      <c r="M412" s="1">
        <f>Data_Caso_Propuesto[[#This Row],[Precio]]</f>
        <v>7350000</v>
      </c>
      <c r="N412" s="1" t="str">
        <f>IFERROR(Data_Caso_Propuesto[[#This Row],[Precio]]/Data_Caso_Propuesto[[#This Row],[Area Terreno]],"")</f>
        <v/>
      </c>
      <c r="O412" s="1" t="str">
        <f>IFERROR((Data_Caso_Propuesto[[#This Row],[Precio]]/Data_Caso_Propuesto[[#This Row],[Area Terreno]])/1000000,"")</f>
        <v/>
      </c>
      <c r="P412" s="1"/>
    </row>
    <row r="413" spans="1:16" x14ac:dyDescent="0.25">
      <c r="A413" t="s">
        <v>880</v>
      </c>
      <c r="B413" t="s">
        <v>93</v>
      </c>
      <c r="C413" t="s">
        <v>45</v>
      </c>
      <c r="D413" t="s">
        <v>15</v>
      </c>
      <c r="E413" t="s">
        <v>881</v>
      </c>
      <c r="F413" s="3" t="s">
        <v>16</v>
      </c>
      <c r="G413" s="3" t="s">
        <v>16</v>
      </c>
      <c r="H413" t="s">
        <v>22</v>
      </c>
      <c r="I413" t="s">
        <v>23</v>
      </c>
      <c r="J413">
        <v>7350000</v>
      </c>
      <c r="K413" t="s">
        <v>102</v>
      </c>
      <c r="L413" t="s">
        <v>15</v>
      </c>
      <c r="M413" s="1">
        <f>Data_Caso_Propuesto[[#This Row],[Precio]]</f>
        <v>7350000</v>
      </c>
      <c r="N413" s="1" t="str">
        <f>IFERROR(Data_Caso_Propuesto[[#This Row],[Precio]]/Data_Caso_Propuesto[[#This Row],[Area Terreno]],"")</f>
        <v/>
      </c>
      <c r="O413" s="1" t="str">
        <f>IFERROR((Data_Caso_Propuesto[[#This Row],[Precio]]/Data_Caso_Propuesto[[#This Row],[Area Terreno]])/1000000,"")</f>
        <v/>
      </c>
      <c r="P413" s="1"/>
    </row>
    <row r="414" spans="1:16" x14ac:dyDescent="0.25">
      <c r="A414" t="s">
        <v>882</v>
      </c>
      <c r="B414" t="s">
        <v>93</v>
      </c>
      <c r="C414" t="s">
        <v>45</v>
      </c>
      <c r="D414" t="s">
        <v>15</v>
      </c>
      <c r="E414" t="s">
        <v>883</v>
      </c>
      <c r="F414" s="3" t="s">
        <v>16</v>
      </c>
      <c r="G414" s="3" t="s">
        <v>16</v>
      </c>
      <c r="H414" t="s">
        <v>22</v>
      </c>
      <c r="I414" t="s">
        <v>23</v>
      </c>
      <c r="J414">
        <v>7350000</v>
      </c>
      <c r="K414" t="s">
        <v>102</v>
      </c>
      <c r="L414" t="s">
        <v>15</v>
      </c>
      <c r="M414" s="1">
        <f>Data_Caso_Propuesto[[#This Row],[Precio]]</f>
        <v>7350000</v>
      </c>
      <c r="N414" s="1" t="str">
        <f>IFERROR(Data_Caso_Propuesto[[#This Row],[Precio]]/Data_Caso_Propuesto[[#This Row],[Area Terreno]],"")</f>
        <v/>
      </c>
      <c r="O414" s="1" t="str">
        <f>IFERROR((Data_Caso_Propuesto[[#This Row],[Precio]]/Data_Caso_Propuesto[[#This Row],[Area Terreno]])/1000000,"")</f>
        <v/>
      </c>
      <c r="P414" s="1"/>
    </row>
    <row r="415" spans="1:16" x14ac:dyDescent="0.25">
      <c r="A415" t="s">
        <v>884</v>
      </c>
      <c r="B415" t="s">
        <v>93</v>
      </c>
      <c r="C415" t="s">
        <v>45</v>
      </c>
      <c r="D415" t="s">
        <v>15</v>
      </c>
      <c r="E415" t="s">
        <v>885</v>
      </c>
      <c r="F415" s="3" t="s">
        <v>16</v>
      </c>
      <c r="G415" s="3" t="s">
        <v>16</v>
      </c>
      <c r="H415" t="s">
        <v>22</v>
      </c>
      <c r="I415" t="s">
        <v>23</v>
      </c>
      <c r="J415">
        <v>7350000</v>
      </c>
      <c r="K415" t="s">
        <v>102</v>
      </c>
      <c r="L415" t="s">
        <v>15</v>
      </c>
      <c r="M415" s="1">
        <f>Data_Caso_Propuesto[[#This Row],[Precio]]</f>
        <v>7350000</v>
      </c>
      <c r="N415" s="1" t="str">
        <f>IFERROR(Data_Caso_Propuesto[[#This Row],[Precio]]/Data_Caso_Propuesto[[#This Row],[Area Terreno]],"")</f>
        <v/>
      </c>
      <c r="O415" s="1" t="str">
        <f>IFERROR((Data_Caso_Propuesto[[#This Row],[Precio]]/Data_Caso_Propuesto[[#This Row],[Area Terreno]])/1000000,"")</f>
        <v/>
      </c>
      <c r="P415" s="1"/>
    </row>
    <row r="416" spans="1:16" x14ac:dyDescent="0.25">
      <c r="A416" t="s">
        <v>886</v>
      </c>
      <c r="B416" t="s">
        <v>93</v>
      </c>
      <c r="C416" t="s">
        <v>45</v>
      </c>
      <c r="D416" t="s">
        <v>15</v>
      </c>
      <c r="E416" t="s">
        <v>887</v>
      </c>
      <c r="F416" s="3" t="s">
        <v>16</v>
      </c>
      <c r="G416" s="3" t="s">
        <v>16</v>
      </c>
      <c r="H416" t="s">
        <v>22</v>
      </c>
      <c r="I416" t="s">
        <v>23</v>
      </c>
      <c r="J416">
        <v>7350000</v>
      </c>
      <c r="K416" t="s">
        <v>102</v>
      </c>
      <c r="L416" t="s">
        <v>15</v>
      </c>
      <c r="M416" s="1">
        <f>Data_Caso_Propuesto[[#This Row],[Precio]]</f>
        <v>7350000</v>
      </c>
      <c r="N416" s="1" t="str">
        <f>IFERROR(Data_Caso_Propuesto[[#This Row],[Precio]]/Data_Caso_Propuesto[[#This Row],[Area Terreno]],"")</f>
        <v/>
      </c>
      <c r="O416" s="1" t="str">
        <f>IFERROR((Data_Caso_Propuesto[[#This Row],[Precio]]/Data_Caso_Propuesto[[#This Row],[Area Terreno]])/1000000,"")</f>
        <v/>
      </c>
      <c r="P416" s="1"/>
    </row>
    <row r="417" spans="1:16" x14ac:dyDescent="0.25">
      <c r="A417" t="s">
        <v>888</v>
      </c>
      <c r="B417" t="s">
        <v>93</v>
      </c>
      <c r="C417" t="s">
        <v>45</v>
      </c>
      <c r="D417" t="s">
        <v>15</v>
      </c>
      <c r="E417" t="s">
        <v>889</v>
      </c>
      <c r="F417" s="3" t="s">
        <v>16</v>
      </c>
      <c r="G417" s="3" t="s">
        <v>16</v>
      </c>
      <c r="H417" t="s">
        <v>22</v>
      </c>
      <c r="I417" t="s">
        <v>23</v>
      </c>
      <c r="J417">
        <v>7350000</v>
      </c>
      <c r="K417" t="s">
        <v>102</v>
      </c>
      <c r="L417" t="s">
        <v>15</v>
      </c>
      <c r="M417" s="1">
        <f>Data_Caso_Propuesto[[#This Row],[Precio]]</f>
        <v>7350000</v>
      </c>
      <c r="N417" s="1" t="str">
        <f>IFERROR(Data_Caso_Propuesto[[#This Row],[Precio]]/Data_Caso_Propuesto[[#This Row],[Area Terreno]],"")</f>
        <v/>
      </c>
      <c r="O417" s="1" t="str">
        <f>IFERROR((Data_Caso_Propuesto[[#This Row],[Precio]]/Data_Caso_Propuesto[[#This Row],[Area Terreno]])/1000000,"")</f>
        <v/>
      </c>
      <c r="P417" s="1"/>
    </row>
    <row r="418" spans="1:16" x14ac:dyDescent="0.25">
      <c r="A418" t="s">
        <v>890</v>
      </c>
      <c r="B418" t="s">
        <v>93</v>
      </c>
      <c r="C418" t="s">
        <v>45</v>
      </c>
      <c r="D418" t="s">
        <v>15</v>
      </c>
      <c r="E418" t="s">
        <v>891</v>
      </c>
      <c r="F418" s="3" t="s">
        <v>16</v>
      </c>
      <c r="G418" s="3" t="s">
        <v>16</v>
      </c>
      <c r="H418" t="s">
        <v>22</v>
      </c>
      <c r="I418" t="s">
        <v>23</v>
      </c>
      <c r="J418">
        <v>7350000</v>
      </c>
      <c r="K418" t="s">
        <v>102</v>
      </c>
      <c r="L418" t="s">
        <v>15</v>
      </c>
      <c r="M418" s="1">
        <f>Data_Caso_Propuesto[[#This Row],[Precio]]</f>
        <v>7350000</v>
      </c>
      <c r="N418" s="1" t="str">
        <f>IFERROR(Data_Caso_Propuesto[[#This Row],[Precio]]/Data_Caso_Propuesto[[#This Row],[Area Terreno]],"")</f>
        <v/>
      </c>
      <c r="O418" s="1" t="str">
        <f>IFERROR((Data_Caso_Propuesto[[#This Row],[Precio]]/Data_Caso_Propuesto[[#This Row],[Area Terreno]])/1000000,"")</f>
        <v/>
      </c>
      <c r="P418" s="1"/>
    </row>
    <row r="419" spans="1:16" x14ac:dyDescent="0.25">
      <c r="A419" t="s">
        <v>892</v>
      </c>
      <c r="B419" t="s">
        <v>93</v>
      </c>
      <c r="C419" t="s">
        <v>45</v>
      </c>
      <c r="D419" t="s">
        <v>15</v>
      </c>
      <c r="E419" t="s">
        <v>893</v>
      </c>
      <c r="F419" s="3" t="s">
        <v>16</v>
      </c>
      <c r="G419" s="3" t="s">
        <v>16</v>
      </c>
      <c r="H419" t="s">
        <v>22</v>
      </c>
      <c r="I419" t="s">
        <v>23</v>
      </c>
      <c r="J419">
        <v>7350000</v>
      </c>
      <c r="K419" t="s">
        <v>102</v>
      </c>
      <c r="L419" t="s">
        <v>15</v>
      </c>
      <c r="M419" s="1">
        <f>Data_Caso_Propuesto[[#This Row],[Precio]]</f>
        <v>7350000</v>
      </c>
      <c r="N419" s="1" t="str">
        <f>IFERROR(Data_Caso_Propuesto[[#This Row],[Precio]]/Data_Caso_Propuesto[[#This Row],[Area Terreno]],"")</f>
        <v/>
      </c>
      <c r="O419" s="1" t="str">
        <f>IFERROR((Data_Caso_Propuesto[[#This Row],[Precio]]/Data_Caso_Propuesto[[#This Row],[Area Terreno]])/1000000,"")</f>
        <v/>
      </c>
      <c r="P419" s="1"/>
    </row>
    <row r="420" spans="1:16" x14ac:dyDescent="0.25">
      <c r="A420" t="s">
        <v>894</v>
      </c>
      <c r="B420" t="s">
        <v>93</v>
      </c>
      <c r="C420" t="s">
        <v>45</v>
      </c>
      <c r="D420" t="s">
        <v>15</v>
      </c>
      <c r="E420" t="s">
        <v>895</v>
      </c>
      <c r="F420" s="3" t="s">
        <v>16</v>
      </c>
      <c r="G420" s="3" t="s">
        <v>16</v>
      </c>
      <c r="H420" t="s">
        <v>22</v>
      </c>
      <c r="I420" t="s">
        <v>72</v>
      </c>
      <c r="J420">
        <v>7350000</v>
      </c>
      <c r="K420" t="s">
        <v>102</v>
      </c>
      <c r="L420" t="s">
        <v>15</v>
      </c>
      <c r="M420" s="1">
        <f>Data_Caso_Propuesto[[#This Row],[Precio]]</f>
        <v>7350000</v>
      </c>
      <c r="N420" s="1" t="str">
        <f>IFERROR(Data_Caso_Propuesto[[#This Row],[Precio]]/Data_Caso_Propuesto[[#This Row],[Area Terreno]],"")</f>
        <v/>
      </c>
      <c r="O420" s="1" t="str">
        <f>IFERROR((Data_Caso_Propuesto[[#This Row],[Precio]]/Data_Caso_Propuesto[[#This Row],[Area Terreno]])/1000000,"")</f>
        <v/>
      </c>
      <c r="P420" s="1"/>
    </row>
    <row r="421" spans="1:16" x14ac:dyDescent="0.25">
      <c r="A421" t="s">
        <v>896</v>
      </c>
      <c r="B421" t="s">
        <v>93</v>
      </c>
      <c r="C421" t="s">
        <v>45</v>
      </c>
      <c r="D421" t="s">
        <v>15</v>
      </c>
      <c r="E421" t="s">
        <v>897</v>
      </c>
      <c r="F421" s="3" t="s">
        <v>16</v>
      </c>
      <c r="G421" s="3" t="s">
        <v>16</v>
      </c>
      <c r="H421" t="s">
        <v>22</v>
      </c>
      <c r="I421" t="s">
        <v>23</v>
      </c>
      <c r="J421">
        <v>7350000</v>
      </c>
      <c r="K421" t="s">
        <v>102</v>
      </c>
      <c r="L421" t="s">
        <v>15</v>
      </c>
      <c r="M421" s="1">
        <f>Data_Caso_Propuesto[[#This Row],[Precio]]</f>
        <v>7350000</v>
      </c>
      <c r="N421" s="1" t="str">
        <f>IFERROR(Data_Caso_Propuesto[[#This Row],[Precio]]/Data_Caso_Propuesto[[#This Row],[Area Terreno]],"")</f>
        <v/>
      </c>
      <c r="O421" s="1" t="str">
        <f>IFERROR((Data_Caso_Propuesto[[#This Row],[Precio]]/Data_Caso_Propuesto[[#This Row],[Area Terreno]])/1000000,"")</f>
        <v/>
      </c>
      <c r="P421" s="1"/>
    </row>
    <row r="422" spans="1:16" x14ac:dyDescent="0.25">
      <c r="A422" t="s">
        <v>898</v>
      </c>
      <c r="B422" t="s">
        <v>93</v>
      </c>
      <c r="C422" t="s">
        <v>45</v>
      </c>
      <c r="D422" t="s">
        <v>15</v>
      </c>
      <c r="E422" t="s">
        <v>899</v>
      </c>
      <c r="F422" s="3" t="s">
        <v>16</v>
      </c>
      <c r="G422" s="3" t="s">
        <v>16</v>
      </c>
      <c r="H422" t="s">
        <v>22</v>
      </c>
      <c r="I422" t="s">
        <v>23</v>
      </c>
      <c r="J422">
        <v>7350000</v>
      </c>
      <c r="K422" t="s">
        <v>102</v>
      </c>
      <c r="L422" t="s">
        <v>15</v>
      </c>
      <c r="M422" s="1">
        <f>Data_Caso_Propuesto[[#This Row],[Precio]]</f>
        <v>7350000</v>
      </c>
      <c r="N422" s="1" t="str">
        <f>IFERROR(Data_Caso_Propuesto[[#This Row],[Precio]]/Data_Caso_Propuesto[[#This Row],[Area Terreno]],"")</f>
        <v/>
      </c>
      <c r="O422" s="1" t="str">
        <f>IFERROR((Data_Caso_Propuesto[[#This Row],[Precio]]/Data_Caso_Propuesto[[#This Row],[Area Terreno]])/1000000,"")</f>
        <v/>
      </c>
      <c r="P422" s="1"/>
    </row>
    <row r="423" spans="1:16" x14ac:dyDescent="0.25">
      <c r="A423" t="s">
        <v>900</v>
      </c>
      <c r="B423" t="s">
        <v>93</v>
      </c>
      <c r="C423" t="s">
        <v>45</v>
      </c>
      <c r="D423" t="s">
        <v>15</v>
      </c>
      <c r="E423" t="s">
        <v>901</v>
      </c>
      <c r="F423" s="3" t="s">
        <v>16</v>
      </c>
      <c r="G423" s="3" t="s">
        <v>16</v>
      </c>
      <c r="H423" t="s">
        <v>22</v>
      </c>
      <c r="I423" t="s">
        <v>23</v>
      </c>
      <c r="J423">
        <v>7350000</v>
      </c>
      <c r="K423" t="s">
        <v>102</v>
      </c>
      <c r="L423" t="s">
        <v>15</v>
      </c>
      <c r="M423" s="1">
        <f>Data_Caso_Propuesto[[#This Row],[Precio]]</f>
        <v>7350000</v>
      </c>
      <c r="N423" s="1" t="str">
        <f>IFERROR(Data_Caso_Propuesto[[#This Row],[Precio]]/Data_Caso_Propuesto[[#This Row],[Area Terreno]],"")</f>
        <v/>
      </c>
      <c r="O423" s="1" t="str">
        <f>IFERROR((Data_Caso_Propuesto[[#This Row],[Precio]]/Data_Caso_Propuesto[[#This Row],[Area Terreno]])/1000000,"")</f>
        <v/>
      </c>
      <c r="P423" s="1"/>
    </row>
    <row r="424" spans="1:16" x14ac:dyDescent="0.25">
      <c r="A424" t="s">
        <v>902</v>
      </c>
      <c r="B424" t="s">
        <v>93</v>
      </c>
      <c r="C424" t="s">
        <v>45</v>
      </c>
      <c r="D424" t="s">
        <v>15</v>
      </c>
      <c r="E424" t="s">
        <v>903</v>
      </c>
      <c r="F424" s="3" t="s">
        <v>16</v>
      </c>
      <c r="G424" s="3" t="s">
        <v>16</v>
      </c>
      <c r="H424" t="s">
        <v>22</v>
      </c>
      <c r="I424" t="s">
        <v>23</v>
      </c>
      <c r="J424">
        <v>7350000</v>
      </c>
      <c r="K424" t="s">
        <v>102</v>
      </c>
      <c r="L424" t="s">
        <v>15</v>
      </c>
      <c r="M424" s="1">
        <f>Data_Caso_Propuesto[[#This Row],[Precio]]</f>
        <v>7350000</v>
      </c>
      <c r="N424" s="1" t="str">
        <f>IFERROR(Data_Caso_Propuesto[[#This Row],[Precio]]/Data_Caso_Propuesto[[#This Row],[Area Terreno]],"")</f>
        <v/>
      </c>
      <c r="O424" s="1" t="str">
        <f>IFERROR((Data_Caso_Propuesto[[#This Row],[Precio]]/Data_Caso_Propuesto[[#This Row],[Area Terreno]])/1000000,"")</f>
        <v/>
      </c>
      <c r="P424" s="1"/>
    </row>
    <row r="425" spans="1:16" x14ac:dyDescent="0.25">
      <c r="A425" t="s">
        <v>904</v>
      </c>
      <c r="B425" t="s">
        <v>93</v>
      </c>
      <c r="C425" t="s">
        <v>45</v>
      </c>
      <c r="D425" t="s">
        <v>15</v>
      </c>
      <c r="E425" t="s">
        <v>905</v>
      </c>
      <c r="F425" s="3" t="s">
        <v>16</v>
      </c>
      <c r="G425" s="3" t="s">
        <v>16</v>
      </c>
      <c r="H425" t="s">
        <v>22</v>
      </c>
      <c r="I425" t="s">
        <v>23</v>
      </c>
      <c r="J425">
        <v>7350000</v>
      </c>
      <c r="K425" t="s">
        <v>102</v>
      </c>
      <c r="L425" t="s">
        <v>15</v>
      </c>
      <c r="M425" s="1">
        <f>Data_Caso_Propuesto[[#This Row],[Precio]]</f>
        <v>7350000</v>
      </c>
      <c r="N425" s="1" t="str">
        <f>IFERROR(Data_Caso_Propuesto[[#This Row],[Precio]]/Data_Caso_Propuesto[[#This Row],[Area Terreno]],"")</f>
        <v/>
      </c>
      <c r="O425" s="1" t="str">
        <f>IFERROR((Data_Caso_Propuesto[[#This Row],[Precio]]/Data_Caso_Propuesto[[#This Row],[Area Terreno]])/1000000,"")</f>
        <v/>
      </c>
      <c r="P425" s="1"/>
    </row>
    <row r="426" spans="1:16" x14ac:dyDescent="0.25">
      <c r="A426" t="s">
        <v>906</v>
      </c>
      <c r="B426" t="s">
        <v>93</v>
      </c>
      <c r="C426" t="s">
        <v>45</v>
      </c>
      <c r="D426" t="s">
        <v>15</v>
      </c>
      <c r="E426" t="s">
        <v>907</v>
      </c>
      <c r="F426" s="3" t="s">
        <v>16</v>
      </c>
      <c r="G426" s="3" t="s">
        <v>16</v>
      </c>
      <c r="H426" t="s">
        <v>77</v>
      </c>
      <c r="I426" t="s">
        <v>23</v>
      </c>
      <c r="J426">
        <v>7350000</v>
      </c>
      <c r="K426" t="s">
        <v>102</v>
      </c>
      <c r="L426" t="s">
        <v>15</v>
      </c>
      <c r="M426" s="1">
        <f>Data_Caso_Propuesto[[#This Row],[Precio]]</f>
        <v>7350000</v>
      </c>
      <c r="N426" s="1" t="str">
        <f>IFERROR(Data_Caso_Propuesto[[#This Row],[Precio]]/Data_Caso_Propuesto[[#This Row],[Area Terreno]],"")</f>
        <v/>
      </c>
      <c r="O426" s="1" t="str">
        <f>IFERROR((Data_Caso_Propuesto[[#This Row],[Precio]]/Data_Caso_Propuesto[[#This Row],[Area Terreno]])/1000000,"")</f>
        <v/>
      </c>
      <c r="P426" s="1"/>
    </row>
    <row r="427" spans="1:16" x14ac:dyDescent="0.25">
      <c r="A427" t="s">
        <v>908</v>
      </c>
      <c r="B427" t="s">
        <v>93</v>
      </c>
      <c r="C427" t="s">
        <v>45</v>
      </c>
      <c r="D427" t="s">
        <v>15</v>
      </c>
      <c r="E427" t="s">
        <v>909</v>
      </c>
      <c r="F427" s="3" t="s">
        <v>16</v>
      </c>
      <c r="G427" s="3" t="s">
        <v>16</v>
      </c>
      <c r="H427" t="s">
        <v>22</v>
      </c>
      <c r="I427" t="s">
        <v>23</v>
      </c>
      <c r="J427">
        <v>7350000</v>
      </c>
      <c r="K427" t="s">
        <v>102</v>
      </c>
      <c r="L427" t="s">
        <v>15</v>
      </c>
      <c r="M427" s="1">
        <f>Data_Caso_Propuesto[[#This Row],[Precio]]</f>
        <v>7350000</v>
      </c>
      <c r="N427" s="1" t="str">
        <f>IFERROR(Data_Caso_Propuesto[[#This Row],[Precio]]/Data_Caso_Propuesto[[#This Row],[Area Terreno]],"")</f>
        <v/>
      </c>
      <c r="O427" s="1" t="str">
        <f>IFERROR((Data_Caso_Propuesto[[#This Row],[Precio]]/Data_Caso_Propuesto[[#This Row],[Area Terreno]])/1000000,"")</f>
        <v/>
      </c>
      <c r="P427" s="1"/>
    </row>
    <row r="428" spans="1:16" x14ac:dyDescent="0.25">
      <c r="A428" t="s">
        <v>910</v>
      </c>
      <c r="B428" t="s">
        <v>93</v>
      </c>
      <c r="C428" t="s">
        <v>45</v>
      </c>
      <c r="D428" t="s">
        <v>15</v>
      </c>
      <c r="E428" t="s">
        <v>911</v>
      </c>
      <c r="F428" s="3" t="s">
        <v>16</v>
      </c>
      <c r="G428" s="3" t="s">
        <v>16</v>
      </c>
      <c r="H428" t="s">
        <v>22</v>
      </c>
      <c r="I428" t="s">
        <v>23</v>
      </c>
      <c r="J428">
        <v>7350000</v>
      </c>
      <c r="K428" t="s">
        <v>102</v>
      </c>
      <c r="L428" t="s">
        <v>15</v>
      </c>
      <c r="M428" s="1">
        <f>Data_Caso_Propuesto[[#This Row],[Precio]]</f>
        <v>7350000</v>
      </c>
      <c r="N428" s="1" t="str">
        <f>IFERROR(Data_Caso_Propuesto[[#This Row],[Precio]]/Data_Caso_Propuesto[[#This Row],[Area Terreno]],"")</f>
        <v/>
      </c>
      <c r="O428" s="1" t="str">
        <f>IFERROR((Data_Caso_Propuesto[[#This Row],[Precio]]/Data_Caso_Propuesto[[#This Row],[Area Terreno]])/1000000,"")</f>
        <v/>
      </c>
      <c r="P428" s="1"/>
    </row>
    <row r="429" spans="1:16" x14ac:dyDescent="0.25">
      <c r="A429" t="s">
        <v>912</v>
      </c>
      <c r="B429" t="s">
        <v>93</v>
      </c>
      <c r="C429" t="s">
        <v>45</v>
      </c>
      <c r="D429" t="s">
        <v>15</v>
      </c>
      <c r="E429" t="s">
        <v>913</v>
      </c>
      <c r="F429" s="3" t="s">
        <v>16</v>
      </c>
      <c r="G429" s="3" t="s">
        <v>16</v>
      </c>
      <c r="H429" t="s">
        <v>22</v>
      </c>
      <c r="I429" t="s">
        <v>23</v>
      </c>
      <c r="J429">
        <v>7350000</v>
      </c>
      <c r="K429" t="s">
        <v>102</v>
      </c>
      <c r="L429" t="s">
        <v>15</v>
      </c>
      <c r="M429" s="1">
        <f>Data_Caso_Propuesto[[#This Row],[Precio]]</f>
        <v>7350000</v>
      </c>
      <c r="N429" s="1" t="str">
        <f>IFERROR(Data_Caso_Propuesto[[#This Row],[Precio]]/Data_Caso_Propuesto[[#This Row],[Area Terreno]],"")</f>
        <v/>
      </c>
      <c r="O429" s="1" t="str">
        <f>IFERROR((Data_Caso_Propuesto[[#This Row],[Precio]]/Data_Caso_Propuesto[[#This Row],[Area Terreno]])/1000000,"")</f>
        <v/>
      </c>
      <c r="P429" s="1"/>
    </row>
    <row r="430" spans="1:16" x14ac:dyDescent="0.25">
      <c r="A430" t="s">
        <v>914</v>
      </c>
      <c r="B430" t="s">
        <v>93</v>
      </c>
      <c r="C430" t="s">
        <v>45</v>
      </c>
      <c r="D430" t="s">
        <v>15</v>
      </c>
      <c r="E430" t="s">
        <v>915</v>
      </c>
      <c r="F430" s="3" t="s">
        <v>16</v>
      </c>
      <c r="G430" s="3" t="s">
        <v>16</v>
      </c>
      <c r="H430" t="s">
        <v>22</v>
      </c>
      <c r="I430" t="s">
        <v>23</v>
      </c>
      <c r="J430">
        <v>7350000</v>
      </c>
      <c r="K430" t="s">
        <v>102</v>
      </c>
      <c r="L430" t="s">
        <v>15</v>
      </c>
      <c r="M430" s="1">
        <f>Data_Caso_Propuesto[[#This Row],[Precio]]</f>
        <v>7350000</v>
      </c>
      <c r="N430" s="1" t="str">
        <f>IFERROR(Data_Caso_Propuesto[[#This Row],[Precio]]/Data_Caso_Propuesto[[#This Row],[Area Terreno]],"")</f>
        <v/>
      </c>
      <c r="O430" s="1" t="str">
        <f>IFERROR((Data_Caso_Propuesto[[#This Row],[Precio]]/Data_Caso_Propuesto[[#This Row],[Area Terreno]])/1000000,"")</f>
        <v/>
      </c>
      <c r="P430" s="1"/>
    </row>
    <row r="431" spans="1:16" x14ac:dyDescent="0.25">
      <c r="A431" t="s">
        <v>916</v>
      </c>
      <c r="B431" t="s">
        <v>93</v>
      </c>
      <c r="C431" t="s">
        <v>45</v>
      </c>
      <c r="D431" t="s">
        <v>15</v>
      </c>
      <c r="E431" t="s">
        <v>917</v>
      </c>
      <c r="F431" s="3" t="s">
        <v>16</v>
      </c>
      <c r="G431" s="3" t="s">
        <v>16</v>
      </c>
      <c r="H431" t="s">
        <v>22</v>
      </c>
      <c r="I431" t="s">
        <v>23</v>
      </c>
      <c r="J431">
        <v>7350000</v>
      </c>
      <c r="K431" t="s">
        <v>102</v>
      </c>
      <c r="L431" t="s">
        <v>15</v>
      </c>
      <c r="M431" s="1">
        <f>Data_Caso_Propuesto[[#This Row],[Precio]]</f>
        <v>7350000</v>
      </c>
      <c r="N431" s="1" t="str">
        <f>IFERROR(Data_Caso_Propuesto[[#This Row],[Precio]]/Data_Caso_Propuesto[[#This Row],[Area Terreno]],"")</f>
        <v/>
      </c>
      <c r="O431" s="1" t="str">
        <f>IFERROR((Data_Caso_Propuesto[[#This Row],[Precio]]/Data_Caso_Propuesto[[#This Row],[Area Terreno]])/1000000,"")</f>
        <v/>
      </c>
      <c r="P431" s="1"/>
    </row>
    <row r="432" spans="1:16" x14ac:dyDescent="0.25">
      <c r="A432" t="s">
        <v>918</v>
      </c>
      <c r="B432" t="s">
        <v>93</v>
      </c>
      <c r="C432" t="s">
        <v>45</v>
      </c>
      <c r="D432" t="s">
        <v>15</v>
      </c>
      <c r="E432" t="s">
        <v>919</v>
      </c>
      <c r="F432" s="3" t="s">
        <v>16</v>
      </c>
      <c r="G432" s="3" t="s">
        <v>16</v>
      </c>
      <c r="H432" t="s">
        <v>22</v>
      </c>
      <c r="I432" t="s">
        <v>23</v>
      </c>
      <c r="J432">
        <v>7350000</v>
      </c>
      <c r="K432" t="s">
        <v>102</v>
      </c>
      <c r="L432" t="s">
        <v>15</v>
      </c>
      <c r="M432" s="1">
        <f>Data_Caso_Propuesto[[#This Row],[Precio]]</f>
        <v>7350000</v>
      </c>
      <c r="N432" s="1" t="str">
        <f>IFERROR(Data_Caso_Propuesto[[#This Row],[Precio]]/Data_Caso_Propuesto[[#This Row],[Area Terreno]],"")</f>
        <v/>
      </c>
      <c r="O432" s="1" t="str">
        <f>IFERROR((Data_Caso_Propuesto[[#This Row],[Precio]]/Data_Caso_Propuesto[[#This Row],[Area Terreno]])/1000000,"")</f>
        <v/>
      </c>
      <c r="P432" s="1"/>
    </row>
    <row r="433" spans="1:16" x14ac:dyDescent="0.25">
      <c r="A433" t="s">
        <v>920</v>
      </c>
      <c r="B433" t="s">
        <v>93</v>
      </c>
      <c r="C433" t="s">
        <v>45</v>
      </c>
      <c r="D433" t="s">
        <v>15</v>
      </c>
      <c r="E433" t="s">
        <v>921</v>
      </c>
      <c r="F433" s="3" t="s">
        <v>16</v>
      </c>
      <c r="G433" s="3" t="s">
        <v>16</v>
      </c>
      <c r="H433" t="s">
        <v>22</v>
      </c>
      <c r="I433" t="s">
        <v>23</v>
      </c>
      <c r="J433">
        <v>7350000</v>
      </c>
      <c r="K433" t="s">
        <v>102</v>
      </c>
      <c r="L433" t="s">
        <v>15</v>
      </c>
      <c r="M433" s="1">
        <f>Data_Caso_Propuesto[[#This Row],[Precio]]</f>
        <v>7350000</v>
      </c>
      <c r="N433" s="1" t="str">
        <f>IFERROR(Data_Caso_Propuesto[[#This Row],[Precio]]/Data_Caso_Propuesto[[#This Row],[Area Terreno]],"")</f>
        <v/>
      </c>
      <c r="O433" s="1" t="str">
        <f>IFERROR((Data_Caso_Propuesto[[#This Row],[Precio]]/Data_Caso_Propuesto[[#This Row],[Area Terreno]])/1000000,"")</f>
        <v/>
      </c>
      <c r="P433" s="1"/>
    </row>
    <row r="434" spans="1:16" x14ac:dyDescent="0.25">
      <c r="A434" t="s">
        <v>922</v>
      </c>
      <c r="B434" t="s">
        <v>93</v>
      </c>
      <c r="C434" t="s">
        <v>45</v>
      </c>
      <c r="D434" t="s">
        <v>15</v>
      </c>
      <c r="E434" t="s">
        <v>923</v>
      </c>
      <c r="F434" s="3" t="s">
        <v>16</v>
      </c>
      <c r="G434" s="3" t="s">
        <v>16</v>
      </c>
      <c r="H434" t="s">
        <v>22</v>
      </c>
      <c r="I434" t="s">
        <v>23</v>
      </c>
      <c r="J434">
        <v>7350000</v>
      </c>
      <c r="K434" t="s">
        <v>102</v>
      </c>
      <c r="L434" t="s">
        <v>15</v>
      </c>
      <c r="M434" s="1">
        <f>Data_Caso_Propuesto[[#This Row],[Precio]]</f>
        <v>7350000</v>
      </c>
      <c r="N434" s="1" t="str">
        <f>IFERROR(Data_Caso_Propuesto[[#This Row],[Precio]]/Data_Caso_Propuesto[[#This Row],[Area Terreno]],"")</f>
        <v/>
      </c>
      <c r="O434" s="1" t="str">
        <f>IFERROR((Data_Caso_Propuesto[[#This Row],[Precio]]/Data_Caso_Propuesto[[#This Row],[Area Terreno]])/1000000,"")</f>
        <v/>
      </c>
      <c r="P434" s="1"/>
    </row>
    <row r="435" spans="1:16" x14ac:dyDescent="0.25">
      <c r="A435" t="s">
        <v>924</v>
      </c>
      <c r="B435" t="s">
        <v>93</v>
      </c>
      <c r="C435" t="s">
        <v>45</v>
      </c>
      <c r="D435" t="s">
        <v>15</v>
      </c>
      <c r="E435" t="s">
        <v>925</v>
      </c>
      <c r="F435" s="3" t="s">
        <v>16</v>
      </c>
      <c r="G435" s="3" t="s">
        <v>16</v>
      </c>
      <c r="H435" t="s">
        <v>22</v>
      </c>
      <c r="I435" t="s">
        <v>23</v>
      </c>
      <c r="J435">
        <v>7350000</v>
      </c>
      <c r="K435" t="s">
        <v>102</v>
      </c>
      <c r="L435" t="s">
        <v>15</v>
      </c>
      <c r="M435" s="1">
        <f>Data_Caso_Propuesto[[#This Row],[Precio]]</f>
        <v>7350000</v>
      </c>
      <c r="N435" s="1" t="str">
        <f>IFERROR(Data_Caso_Propuesto[[#This Row],[Precio]]/Data_Caso_Propuesto[[#This Row],[Area Terreno]],"")</f>
        <v/>
      </c>
      <c r="O435" s="1" t="str">
        <f>IFERROR((Data_Caso_Propuesto[[#This Row],[Precio]]/Data_Caso_Propuesto[[#This Row],[Area Terreno]])/1000000,"")</f>
        <v/>
      </c>
      <c r="P435" s="1"/>
    </row>
    <row r="436" spans="1:16" x14ac:dyDescent="0.25">
      <c r="A436" t="s">
        <v>926</v>
      </c>
      <c r="B436" t="s">
        <v>93</v>
      </c>
      <c r="C436" t="s">
        <v>45</v>
      </c>
      <c r="D436" t="s">
        <v>15</v>
      </c>
      <c r="E436" t="s">
        <v>927</v>
      </c>
      <c r="F436" s="3" t="s">
        <v>16</v>
      </c>
      <c r="G436" s="3" t="s">
        <v>16</v>
      </c>
      <c r="H436" t="s">
        <v>22</v>
      </c>
      <c r="I436" t="s">
        <v>23</v>
      </c>
      <c r="J436">
        <v>7350000</v>
      </c>
      <c r="K436" t="s">
        <v>102</v>
      </c>
      <c r="L436" t="s">
        <v>15</v>
      </c>
      <c r="M436" s="1">
        <f>Data_Caso_Propuesto[[#This Row],[Precio]]</f>
        <v>7350000</v>
      </c>
      <c r="N436" s="1" t="str">
        <f>IFERROR(Data_Caso_Propuesto[[#This Row],[Precio]]/Data_Caso_Propuesto[[#This Row],[Area Terreno]],"")</f>
        <v/>
      </c>
      <c r="O436" s="1" t="str">
        <f>IFERROR((Data_Caso_Propuesto[[#This Row],[Precio]]/Data_Caso_Propuesto[[#This Row],[Area Terreno]])/1000000,"")</f>
        <v/>
      </c>
      <c r="P436" s="1"/>
    </row>
    <row r="437" spans="1:16" x14ac:dyDescent="0.25">
      <c r="A437" t="s">
        <v>928</v>
      </c>
      <c r="B437" t="s">
        <v>93</v>
      </c>
      <c r="C437" t="s">
        <v>45</v>
      </c>
      <c r="D437" t="s">
        <v>15</v>
      </c>
      <c r="E437" t="s">
        <v>929</v>
      </c>
      <c r="F437" s="3" t="s">
        <v>16</v>
      </c>
      <c r="G437" s="3" t="s">
        <v>16</v>
      </c>
      <c r="H437" t="s">
        <v>22</v>
      </c>
      <c r="I437" t="s">
        <v>23</v>
      </c>
      <c r="J437">
        <v>7350000</v>
      </c>
      <c r="K437" t="s">
        <v>102</v>
      </c>
      <c r="L437" t="s">
        <v>15</v>
      </c>
      <c r="M437" s="1">
        <f>Data_Caso_Propuesto[[#This Row],[Precio]]</f>
        <v>7350000</v>
      </c>
      <c r="N437" s="1" t="str">
        <f>IFERROR(Data_Caso_Propuesto[[#This Row],[Precio]]/Data_Caso_Propuesto[[#This Row],[Area Terreno]],"")</f>
        <v/>
      </c>
      <c r="O437" s="1" t="str">
        <f>IFERROR((Data_Caso_Propuesto[[#This Row],[Precio]]/Data_Caso_Propuesto[[#This Row],[Area Terreno]])/1000000,"")</f>
        <v/>
      </c>
      <c r="P437" s="1"/>
    </row>
    <row r="438" spans="1:16" x14ac:dyDescent="0.25">
      <c r="A438" t="s">
        <v>930</v>
      </c>
      <c r="B438" t="s">
        <v>93</v>
      </c>
      <c r="C438" t="s">
        <v>45</v>
      </c>
      <c r="D438" t="s">
        <v>15</v>
      </c>
      <c r="E438" t="s">
        <v>931</v>
      </c>
      <c r="F438" s="3" t="s">
        <v>16</v>
      </c>
      <c r="G438" s="3" t="s">
        <v>16</v>
      </c>
      <c r="H438" t="s">
        <v>22</v>
      </c>
      <c r="I438" t="s">
        <v>23</v>
      </c>
      <c r="J438">
        <v>7350000</v>
      </c>
      <c r="K438" t="s">
        <v>102</v>
      </c>
      <c r="L438" t="s">
        <v>15</v>
      </c>
      <c r="M438" s="1">
        <f>Data_Caso_Propuesto[[#This Row],[Precio]]</f>
        <v>7350000</v>
      </c>
      <c r="N438" s="1" t="str">
        <f>IFERROR(Data_Caso_Propuesto[[#This Row],[Precio]]/Data_Caso_Propuesto[[#This Row],[Area Terreno]],"")</f>
        <v/>
      </c>
      <c r="O438" s="1" t="str">
        <f>IFERROR((Data_Caso_Propuesto[[#This Row],[Precio]]/Data_Caso_Propuesto[[#This Row],[Area Terreno]])/1000000,"")</f>
        <v/>
      </c>
      <c r="P438" s="1"/>
    </row>
    <row r="439" spans="1:16" x14ac:dyDescent="0.25">
      <c r="A439" t="s">
        <v>932</v>
      </c>
      <c r="B439" t="s">
        <v>93</v>
      </c>
      <c r="C439" t="s">
        <v>45</v>
      </c>
      <c r="D439" t="s">
        <v>15</v>
      </c>
      <c r="E439" t="s">
        <v>933</v>
      </c>
      <c r="F439" s="3" t="s">
        <v>16</v>
      </c>
      <c r="G439" s="3" t="s">
        <v>16</v>
      </c>
      <c r="H439" t="s">
        <v>22</v>
      </c>
      <c r="I439" t="s">
        <v>23</v>
      </c>
      <c r="J439">
        <v>7350000</v>
      </c>
      <c r="K439" t="s">
        <v>102</v>
      </c>
      <c r="L439" t="s">
        <v>15</v>
      </c>
      <c r="M439" s="1">
        <f>Data_Caso_Propuesto[[#This Row],[Precio]]</f>
        <v>7350000</v>
      </c>
      <c r="N439" s="1" t="str">
        <f>IFERROR(Data_Caso_Propuesto[[#This Row],[Precio]]/Data_Caso_Propuesto[[#This Row],[Area Terreno]],"")</f>
        <v/>
      </c>
      <c r="O439" s="1" t="str">
        <f>IFERROR((Data_Caso_Propuesto[[#This Row],[Precio]]/Data_Caso_Propuesto[[#This Row],[Area Terreno]])/1000000,"")</f>
        <v/>
      </c>
      <c r="P439" s="1"/>
    </row>
    <row r="440" spans="1:16" x14ac:dyDescent="0.25">
      <c r="A440" t="s">
        <v>934</v>
      </c>
      <c r="B440" t="s">
        <v>93</v>
      </c>
      <c r="C440" t="s">
        <v>45</v>
      </c>
      <c r="D440" t="s">
        <v>15</v>
      </c>
      <c r="E440" t="s">
        <v>935</v>
      </c>
      <c r="F440" s="3" t="s">
        <v>16</v>
      </c>
      <c r="G440" s="3" t="s">
        <v>16</v>
      </c>
      <c r="H440" t="s">
        <v>22</v>
      </c>
      <c r="I440" t="s">
        <v>23</v>
      </c>
      <c r="J440">
        <v>7350000</v>
      </c>
      <c r="K440" t="s">
        <v>102</v>
      </c>
      <c r="L440" t="s">
        <v>15</v>
      </c>
      <c r="M440" s="1">
        <f>Data_Caso_Propuesto[[#This Row],[Precio]]</f>
        <v>7350000</v>
      </c>
      <c r="N440" s="1" t="str">
        <f>IFERROR(Data_Caso_Propuesto[[#This Row],[Precio]]/Data_Caso_Propuesto[[#This Row],[Area Terreno]],"")</f>
        <v/>
      </c>
      <c r="O440" s="1" t="str">
        <f>IFERROR((Data_Caso_Propuesto[[#This Row],[Precio]]/Data_Caso_Propuesto[[#This Row],[Area Terreno]])/1000000,"")</f>
        <v/>
      </c>
      <c r="P440" s="1"/>
    </row>
    <row r="441" spans="1:16" x14ac:dyDescent="0.25">
      <c r="A441" t="s">
        <v>936</v>
      </c>
      <c r="B441" t="s">
        <v>93</v>
      </c>
      <c r="C441" t="s">
        <v>45</v>
      </c>
      <c r="D441" t="s">
        <v>15</v>
      </c>
      <c r="E441" t="s">
        <v>937</v>
      </c>
      <c r="F441" s="3" t="s">
        <v>16</v>
      </c>
      <c r="G441" s="3" t="s">
        <v>16</v>
      </c>
      <c r="H441" t="s">
        <v>22</v>
      </c>
      <c r="I441" t="s">
        <v>23</v>
      </c>
      <c r="J441">
        <v>7350000</v>
      </c>
      <c r="K441" t="s">
        <v>102</v>
      </c>
      <c r="L441" t="s">
        <v>15</v>
      </c>
      <c r="M441" s="1">
        <f>Data_Caso_Propuesto[[#This Row],[Precio]]</f>
        <v>7350000</v>
      </c>
      <c r="N441" s="1" t="str">
        <f>IFERROR(Data_Caso_Propuesto[[#This Row],[Precio]]/Data_Caso_Propuesto[[#This Row],[Area Terreno]],"")</f>
        <v/>
      </c>
      <c r="O441" s="1" t="str">
        <f>IFERROR((Data_Caso_Propuesto[[#This Row],[Precio]]/Data_Caso_Propuesto[[#This Row],[Area Terreno]])/1000000,"")</f>
        <v/>
      </c>
      <c r="P441" s="1"/>
    </row>
    <row r="442" spans="1:16" x14ac:dyDescent="0.25">
      <c r="A442" t="s">
        <v>938</v>
      </c>
      <c r="B442" t="s">
        <v>93</v>
      </c>
      <c r="C442" t="s">
        <v>45</v>
      </c>
      <c r="D442" t="s">
        <v>15</v>
      </c>
      <c r="E442" t="s">
        <v>939</v>
      </c>
      <c r="F442" s="3" t="s">
        <v>16</v>
      </c>
      <c r="G442" s="3" t="s">
        <v>16</v>
      </c>
      <c r="H442" t="s">
        <v>22</v>
      </c>
      <c r="I442" t="s">
        <v>23</v>
      </c>
      <c r="J442">
        <v>7350000</v>
      </c>
      <c r="K442" t="s">
        <v>102</v>
      </c>
      <c r="L442" t="s">
        <v>15</v>
      </c>
      <c r="M442" s="1">
        <f>Data_Caso_Propuesto[[#This Row],[Precio]]</f>
        <v>7350000</v>
      </c>
      <c r="N442" s="1" t="str">
        <f>IFERROR(Data_Caso_Propuesto[[#This Row],[Precio]]/Data_Caso_Propuesto[[#This Row],[Area Terreno]],"")</f>
        <v/>
      </c>
      <c r="O442" s="1" t="str">
        <f>IFERROR((Data_Caso_Propuesto[[#This Row],[Precio]]/Data_Caso_Propuesto[[#This Row],[Area Terreno]])/1000000,"")</f>
        <v/>
      </c>
      <c r="P442" s="1"/>
    </row>
    <row r="443" spans="1:16" x14ac:dyDescent="0.25">
      <c r="A443" t="s">
        <v>940</v>
      </c>
      <c r="B443" t="s">
        <v>93</v>
      </c>
      <c r="C443" t="s">
        <v>45</v>
      </c>
      <c r="D443" t="s">
        <v>15</v>
      </c>
      <c r="E443" t="s">
        <v>941</v>
      </c>
      <c r="F443" s="3" t="s">
        <v>16</v>
      </c>
      <c r="G443" s="3" t="s">
        <v>16</v>
      </c>
      <c r="H443" t="s">
        <v>22</v>
      </c>
      <c r="I443" t="s">
        <v>23</v>
      </c>
      <c r="J443">
        <v>7350000</v>
      </c>
      <c r="K443" t="s">
        <v>102</v>
      </c>
      <c r="L443" t="s">
        <v>15</v>
      </c>
      <c r="M443" s="1">
        <f>Data_Caso_Propuesto[[#This Row],[Precio]]</f>
        <v>7350000</v>
      </c>
      <c r="N443" s="1" t="str">
        <f>IFERROR(Data_Caso_Propuesto[[#This Row],[Precio]]/Data_Caso_Propuesto[[#This Row],[Area Terreno]],"")</f>
        <v/>
      </c>
      <c r="O443" s="1" t="str">
        <f>IFERROR((Data_Caso_Propuesto[[#This Row],[Precio]]/Data_Caso_Propuesto[[#This Row],[Area Terreno]])/1000000,"")</f>
        <v/>
      </c>
      <c r="P443" s="1"/>
    </row>
    <row r="444" spans="1:16" x14ac:dyDescent="0.25">
      <c r="A444" t="s">
        <v>942</v>
      </c>
      <c r="B444" t="s">
        <v>93</v>
      </c>
      <c r="C444" t="s">
        <v>45</v>
      </c>
      <c r="D444" t="s">
        <v>15</v>
      </c>
      <c r="E444" t="s">
        <v>943</v>
      </c>
      <c r="F444" s="3" t="s">
        <v>16</v>
      </c>
      <c r="G444" s="3" t="s">
        <v>16</v>
      </c>
      <c r="H444" t="s">
        <v>22</v>
      </c>
      <c r="I444" t="s">
        <v>23</v>
      </c>
      <c r="J444">
        <v>7350000</v>
      </c>
      <c r="K444" t="s">
        <v>102</v>
      </c>
      <c r="L444" t="s">
        <v>15</v>
      </c>
      <c r="M444" s="1">
        <f>Data_Caso_Propuesto[[#This Row],[Precio]]</f>
        <v>7350000</v>
      </c>
      <c r="N444" s="1" t="str">
        <f>IFERROR(Data_Caso_Propuesto[[#This Row],[Precio]]/Data_Caso_Propuesto[[#This Row],[Area Terreno]],"")</f>
        <v/>
      </c>
      <c r="O444" s="1" t="str">
        <f>IFERROR((Data_Caso_Propuesto[[#This Row],[Precio]]/Data_Caso_Propuesto[[#This Row],[Area Terreno]])/1000000,"")</f>
        <v/>
      </c>
      <c r="P444" s="1"/>
    </row>
    <row r="445" spans="1:16" x14ac:dyDescent="0.25">
      <c r="A445" t="s">
        <v>944</v>
      </c>
      <c r="B445" t="s">
        <v>93</v>
      </c>
      <c r="C445" t="s">
        <v>45</v>
      </c>
      <c r="D445" t="s">
        <v>15</v>
      </c>
      <c r="E445" t="s">
        <v>945</v>
      </c>
      <c r="F445" s="3" t="s">
        <v>16</v>
      </c>
      <c r="G445" s="3" t="s">
        <v>16</v>
      </c>
      <c r="H445" t="s">
        <v>22</v>
      </c>
      <c r="I445" t="s">
        <v>23</v>
      </c>
      <c r="J445">
        <v>7350000</v>
      </c>
      <c r="K445" t="s">
        <v>102</v>
      </c>
      <c r="L445" t="s">
        <v>15</v>
      </c>
      <c r="M445" s="1">
        <f>Data_Caso_Propuesto[[#This Row],[Precio]]</f>
        <v>7350000</v>
      </c>
      <c r="N445" s="1" t="str">
        <f>IFERROR(Data_Caso_Propuesto[[#This Row],[Precio]]/Data_Caso_Propuesto[[#This Row],[Area Terreno]],"")</f>
        <v/>
      </c>
      <c r="O445" s="1" t="str">
        <f>IFERROR((Data_Caso_Propuesto[[#This Row],[Precio]]/Data_Caso_Propuesto[[#This Row],[Area Terreno]])/1000000,"")</f>
        <v/>
      </c>
      <c r="P445" s="1"/>
    </row>
    <row r="446" spans="1:16" x14ac:dyDescent="0.25">
      <c r="A446" t="s">
        <v>946</v>
      </c>
      <c r="B446" t="s">
        <v>93</v>
      </c>
      <c r="C446" t="s">
        <v>45</v>
      </c>
      <c r="D446" t="s">
        <v>15</v>
      </c>
      <c r="E446" t="s">
        <v>947</v>
      </c>
      <c r="F446" s="3" t="s">
        <v>16</v>
      </c>
      <c r="G446" s="3" t="s">
        <v>16</v>
      </c>
      <c r="H446" t="s">
        <v>22</v>
      </c>
      <c r="I446" t="s">
        <v>23</v>
      </c>
      <c r="J446">
        <v>7350000</v>
      </c>
      <c r="K446" t="s">
        <v>102</v>
      </c>
      <c r="L446" t="s">
        <v>15</v>
      </c>
      <c r="M446" s="1">
        <f>Data_Caso_Propuesto[[#This Row],[Precio]]</f>
        <v>7350000</v>
      </c>
      <c r="N446" s="1" t="str">
        <f>IFERROR(Data_Caso_Propuesto[[#This Row],[Precio]]/Data_Caso_Propuesto[[#This Row],[Area Terreno]],"")</f>
        <v/>
      </c>
      <c r="O446" s="1" t="str">
        <f>IFERROR((Data_Caso_Propuesto[[#This Row],[Precio]]/Data_Caso_Propuesto[[#This Row],[Area Terreno]])/1000000,"")</f>
        <v/>
      </c>
      <c r="P446" s="1"/>
    </row>
    <row r="447" spans="1:16" x14ac:dyDescent="0.25">
      <c r="A447" t="s">
        <v>948</v>
      </c>
      <c r="B447" t="s">
        <v>93</v>
      </c>
      <c r="C447" t="s">
        <v>45</v>
      </c>
      <c r="D447" t="s">
        <v>15</v>
      </c>
      <c r="E447" t="s">
        <v>949</v>
      </c>
      <c r="F447" s="3" t="s">
        <v>16</v>
      </c>
      <c r="G447" s="3" t="s">
        <v>16</v>
      </c>
      <c r="H447" t="s">
        <v>22</v>
      </c>
      <c r="I447" t="s">
        <v>23</v>
      </c>
      <c r="J447">
        <v>7350000</v>
      </c>
      <c r="K447" t="s">
        <v>102</v>
      </c>
      <c r="L447" t="s">
        <v>15</v>
      </c>
      <c r="M447" s="1">
        <f>Data_Caso_Propuesto[[#This Row],[Precio]]</f>
        <v>7350000</v>
      </c>
      <c r="N447" s="1" t="str">
        <f>IFERROR(Data_Caso_Propuesto[[#This Row],[Precio]]/Data_Caso_Propuesto[[#This Row],[Area Terreno]],"")</f>
        <v/>
      </c>
      <c r="O447" s="1" t="str">
        <f>IFERROR((Data_Caso_Propuesto[[#This Row],[Precio]]/Data_Caso_Propuesto[[#This Row],[Area Terreno]])/1000000,"")</f>
        <v/>
      </c>
      <c r="P447" s="1"/>
    </row>
    <row r="448" spans="1:16" x14ac:dyDescent="0.25">
      <c r="A448" t="s">
        <v>950</v>
      </c>
      <c r="B448" t="s">
        <v>93</v>
      </c>
      <c r="C448" t="s">
        <v>45</v>
      </c>
      <c r="D448" t="s">
        <v>15</v>
      </c>
      <c r="E448" t="s">
        <v>951</v>
      </c>
      <c r="F448" s="3" t="s">
        <v>16</v>
      </c>
      <c r="G448" s="3" t="s">
        <v>16</v>
      </c>
      <c r="H448" t="s">
        <v>22</v>
      </c>
      <c r="I448" t="s">
        <v>23</v>
      </c>
      <c r="J448">
        <v>7350000</v>
      </c>
      <c r="K448" t="s">
        <v>102</v>
      </c>
      <c r="L448" t="s">
        <v>15</v>
      </c>
      <c r="M448" s="1">
        <f>Data_Caso_Propuesto[[#This Row],[Precio]]</f>
        <v>7350000</v>
      </c>
      <c r="N448" s="1" t="str">
        <f>IFERROR(Data_Caso_Propuesto[[#This Row],[Precio]]/Data_Caso_Propuesto[[#This Row],[Area Terreno]],"")</f>
        <v/>
      </c>
      <c r="O448" s="1" t="str">
        <f>IFERROR((Data_Caso_Propuesto[[#This Row],[Precio]]/Data_Caso_Propuesto[[#This Row],[Area Terreno]])/1000000,"")</f>
        <v/>
      </c>
      <c r="P448" s="1"/>
    </row>
    <row r="449" spans="1:16" x14ac:dyDescent="0.25">
      <c r="A449" t="s">
        <v>952</v>
      </c>
      <c r="B449" t="s">
        <v>93</v>
      </c>
      <c r="C449" t="s">
        <v>45</v>
      </c>
      <c r="D449" t="s">
        <v>15</v>
      </c>
      <c r="E449" t="s">
        <v>953</v>
      </c>
      <c r="F449" s="3" t="s">
        <v>16</v>
      </c>
      <c r="G449" s="3" t="s">
        <v>16</v>
      </c>
      <c r="H449" t="s">
        <v>22</v>
      </c>
      <c r="I449" t="s">
        <v>23</v>
      </c>
      <c r="J449">
        <v>7350000</v>
      </c>
      <c r="K449" t="s">
        <v>102</v>
      </c>
      <c r="L449" t="s">
        <v>15</v>
      </c>
      <c r="M449" s="1">
        <f>Data_Caso_Propuesto[[#This Row],[Precio]]</f>
        <v>7350000</v>
      </c>
      <c r="N449" s="1" t="str">
        <f>IFERROR(Data_Caso_Propuesto[[#This Row],[Precio]]/Data_Caso_Propuesto[[#This Row],[Area Terreno]],"")</f>
        <v/>
      </c>
      <c r="O449" s="1" t="str">
        <f>IFERROR((Data_Caso_Propuesto[[#This Row],[Precio]]/Data_Caso_Propuesto[[#This Row],[Area Terreno]])/1000000,"")</f>
        <v/>
      </c>
      <c r="P449" s="1"/>
    </row>
    <row r="450" spans="1:16" x14ac:dyDescent="0.25">
      <c r="A450" t="s">
        <v>954</v>
      </c>
      <c r="B450" t="s">
        <v>93</v>
      </c>
      <c r="C450" t="s">
        <v>45</v>
      </c>
      <c r="D450" t="s">
        <v>15</v>
      </c>
      <c r="E450" t="s">
        <v>955</v>
      </c>
      <c r="F450" s="3" t="s">
        <v>16</v>
      </c>
      <c r="G450" s="3" t="s">
        <v>16</v>
      </c>
      <c r="H450" t="s">
        <v>22</v>
      </c>
      <c r="I450" t="s">
        <v>23</v>
      </c>
      <c r="J450">
        <v>7350000</v>
      </c>
      <c r="K450" t="s">
        <v>102</v>
      </c>
      <c r="L450" t="s">
        <v>15</v>
      </c>
      <c r="M450" s="1">
        <f>Data_Caso_Propuesto[[#This Row],[Precio]]</f>
        <v>7350000</v>
      </c>
      <c r="N450" s="1" t="str">
        <f>IFERROR(Data_Caso_Propuesto[[#This Row],[Precio]]/Data_Caso_Propuesto[[#This Row],[Area Terreno]],"")</f>
        <v/>
      </c>
      <c r="O450" s="1" t="str">
        <f>IFERROR((Data_Caso_Propuesto[[#This Row],[Precio]]/Data_Caso_Propuesto[[#This Row],[Area Terreno]])/1000000,"")</f>
        <v/>
      </c>
      <c r="P450" s="1"/>
    </row>
    <row r="451" spans="1:16" x14ac:dyDescent="0.25">
      <c r="A451" t="s">
        <v>956</v>
      </c>
      <c r="B451" t="s">
        <v>80</v>
      </c>
      <c r="C451" t="s">
        <v>36</v>
      </c>
      <c r="D451" t="s">
        <v>15</v>
      </c>
      <c r="E451" t="s">
        <v>1098</v>
      </c>
      <c r="F451" s="3" t="s">
        <v>16</v>
      </c>
      <c r="G451" s="3" t="s">
        <v>16</v>
      </c>
      <c r="H451" t="s">
        <v>51</v>
      </c>
      <c r="I451" t="s">
        <v>31</v>
      </c>
      <c r="J451">
        <v>7152000</v>
      </c>
      <c r="K451" t="s">
        <v>957</v>
      </c>
      <c r="L451" t="s">
        <v>1099</v>
      </c>
      <c r="M451" s="1">
        <f>Data_Caso_Propuesto[[#This Row],[Precio]]</f>
        <v>7152000</v>
      </c>
      <c r="N451" s="1" t="str">
        <f>IFERROR(Data_Caso_Propuesto[[#This Row],[Precio]]/Data_Caso_Propuesto[[#This Row],[Area Terreno]],"")</f>
        <v/>
      </c>
      <c r="O451" s="1" t="str">
        <f>IFERROR((Data_Caso_Propuesto[[#This Row],[Precio]]/Data_Caso_Propuesto[[#This Row],[Area Terreno]])/1000000,"")</f>
        <v/>
      </c>
      <c r="P451" s="1"/>
    </row>
    <row r="452" spans="1:16" x14ac:dyDescent="0.25">
      <c r="A452" t="s">
        <v>958</v>
      </c>
      <c r="B452" t="s">
        <v>111</v>
      </c>
      <c r="C452" t="s">
        <v>112</v>
      </c>
      <c r="D452" t="s">
        <v>15</v>
      </c>
      <c r="E452" t="s">
        <v>959</v>
      </c>
      <c r="F452" s="3" t="s">
        <v>16</v>
      </c>
      <c r="G452" s="3" t="s">
        <v>16</v>
      </c>
      <c r="H452" t="s">
        <v>17</v>
      </c>
      <c r="I452" t="s">
        <v>81</v>
      </c>
      <c r="J452">
        <v>377434000</v>
      </c>
      <c r="K452" t="s">
        <v>62</v>
      </c>
      <c r="L452" t="s">
        <v>1084</v>
      </c>
      <c r="M452" s="1">
        <f>Data_Caso_Propuesto[[#This Row],[Precio]]</f>
        <v>377434000</v>
      </c>
      <c r="N452" s="1" t="str">
        <f>IFERROR(Data_Caso_Propuesto[[#This Row],[Precio]]/Data_Caso_Propuesto[[#This Row],[Area Terreno]],"")</f>
        <v/>
      </c>
      <c r="O452" s="1" t="str">
        <f>IFERROR((Data_Caso_Propuesto[[#This Row],[Precio]]/Data_Caso_Propuesto[[#This Row],[Area Terreno]])/1000000,"")</f>
        <v/>
      </c>
      <c r="P452" s="1"/>
    </row>
    <row r="453" spans="1:16" x14ac:dyDescent="0.25">
      <c r="A453" t="s">
        <v>960</v>
      </c>
      <c r="B453" t="s">
        <v>93</v>
      </c>
      <c r="C453" t="s">
        <v>45</v>
      </c>
      <c r="D453" t="s">
        <v>15</v>
      </c>
      <c r="E453" t="s">
        <v>961</v>
      </c>
      <c r="F453" s="3" t="s">
        <v>16</v>
      </c>
      <c r="G453" s="3" t="s">
        <v>16</v>
      </c>
      <c r="H453" t="s">
        <v>22</v>
      </c>
      <c r="I453" t="s">
        <v>23</v>
      </c>
      <c r="J453">
        <v>6884500</v>
      </c>
      <c r="K453" t="s">
        <v>102</v>
      </c>
      <c r="L453" t="s">
        <v>15</v>
      </c>
      <c r="M453" s="1">
        <f>Data_Caso_Propuesto[[#This Row],[Precio]]</f>
        <v>6884500</v>
      </c>
      <c r="N453" s="1" t="str">
        <f>IFERROR(Data_Caso_Propuesto[[#This Row],[Precio]]/Data_Caso_Propuesto[[#This Row],[Area Terreno]],"")</f>
        <v/>
      </c>
      <c r="O453" s="1" t="str">
        <f>IFERROR((Data_Caso_Propuesto[[#This Row],[Precio]]/Data_Caso_Propuesto[[#This Row],[Area Terreno]])/1000000,"")</f>
        <v/>
      </c>
      <c r="P453" s="1"/>
    </row>
    <row r="454" spans="1:16" x14ac:dyDescent="0.25">
      <c r="A454" t="s">
        <v>962</v>
      </c>
      <c r="B454" t="s">
        <v>93</v>
      </c>
      <c r="C454" t="s">
        <v>45</v>
      </c>
      <c r="D454" t="s">
        <v>15</v>
      </c>
      <c r="E454" t="s">
        <v>963</v>
      </c>
      <c r="F454" s="3" t="s">
        <v>16</v>
      </c>
      <c r="G454" s="3" t="s">
        <v>16</v>
      </c>
      <c r="H454" t="s">
        <v>22</v>
      </c>
      <c r="I454" t="s">
        <v>23</v>
      </c>
      <c r="J454">
        <v>6835500</v>
      </c>
      <c r="K454" t="s">
        <v>102</v>
      </c>
      <c r="L454" t="s">
        <v>15</v>
      </c>
      <c r="M454" s="1">
        <f>Data_Caso_Propuesto[[#This Row],[Precio]]</f>
        <v>6835500</v>
      </c>
      <c r="N454" s="1" t="str">
        <f>IFERROR(Data_Caso_Propuesto[[#This Row],[Precio]]/Data_Caso_Propuesto[[#This Row],[Area Terreno]],"")</f>
        <v/>
      </c>
      <c r="O454" s="1" t="str">
        <f>IFERROR((Data_Caso_Propuesto[[#This Row],[Precio]]/Data_Caso_Propuesto[[#This Row],[Area Terreno]])/1000000,"")</f>
        <v/>
      </c>
      <c r="P454" s="1"/>
    </row>
    <row r="455" spans="1:16" x14ac:dyDescent="0.25">
      <c r="A455" t="s">
        <v>964</v>
      </c>
      <c r="B455" t="s">
        <v>70</v>
      </c>
      <c r="C455" t="s">
        <v>71</v>
      </c>
      <c r="D455" t="s">
        <v>149</v>
      </c>
      <c r="E455" t="s">
        <v>965</v>
      </c>
      <c r="F455" s="3" t="s">
        <v>16</v>
      </c>
      <c r="G455" s="3" t="s">
        <v>16</v>
      </c>
      <c r="H455" t="s">
        <v>17</v>
      </c>
      <c r="I455" t="s">
        <v>81</v>
      </c>
      <c r="J455">
        <v>6832720</v>
      </c>
      <c r="K455" t="s">
        <v>68</v>
      </c>
      <c r="L455" t="s">
        <v>15</v>
      </c>
      <c r="M455" s="1">
        <f>Data_Caso_Propuesto[[#This Row],[Precio]]</f>
        <v>6832720</v>
      </c>
      <c r="N455" s="1" t="str">
        <f>IFERROR(Data_Caso_Propuesto[[#This Row],[Precio]]/Data_Caso_Propuesto[[#This Row],[Area Terreno]],"")</f>
        <v/>
      </c>
      <c r="O455" s="1" t="str">
        <f>IFERROR((Data_Caso_Propuesto[[#This Row],[Precio]]/Data_Caso_Propuesto[[#This Row],[Area Terreno]])/1000000,"")</f>
        <v/>
      </c>
      <c r="P455" s="1"/>
    </row>
    <row r="456" spans="1:16" x14ac:dyDescent="0.25">
      <c r="A456" t="s">
        <v>969</v>
      </c>
      <c r="B456" t="s">
        <v>70</v>
      </c>
      <c r="C456" t="s">
        <v>71</v>
      </c>
      <c r="D456" t="s">
        <v>149</v>
      </c>
      <c r="E456" t="s">
        <v>970</v>
      </c>
      <c r="F456" s="3" t="s">
        <v>16</v>
      </c>
      <c r="G456" s="3" t="s">
        <v>16</v>
      </c>
      <c r="H456" t="s">
        <v>17</v>
      </c>
      <c r="I456" t="s">
        <v>81</v>
      </c>
      <c r="J456">
        <v>6333900</v>
      </c>
      <c r="K456" t="s">
        <v>68</v>
      </c>
      <c r="L456" t="s">
        <v>15</v>
      </c>
      <c r="M456" s="1">
        <f>Data_Caso_Propuesto[[#This Row],[Precio]]</f>
        <v>6333900</v>
      </c>
      <c r="N456" s="1" t="str">
        <f>IFERROR(Data_Caso_Propuesto[[#This Row],[Precio]]/Data_Caso_Propuesto[[#This Row],[Area Terreno]],"")</f>
        <v/>
      </c>
      <c r="O456" s="1" t="str">
        <f>IFERROR((Data_Caso_Propuesto[[#This Row],[Precio]]/Data_Caso_Propuesto[[#This Row],[Area Terreno]])/1000000,"")</f>
        <v/>
      </c>
      <c r="P456" s="1"/>
    </row>
    <row r="457" spans="1:16" x14ac:dyDescent="0.25">
      <c r="A457" t="s">
        <v>973</v>
      </c>
      <c r="B457" t="s">
        <v>229</v>
      </c>
      <c r="C457" t="s">
        <v>130</v>
      </c>
      <c r="D457" t="s">
        <v>15</v>
      </c>
      <c r="E457" t="s">
        <v>974</v>
      </c>
      <c r="F457" s="3" t="s">
        <v>16</v>
      </c>
      <c r="G457" s="3" t="s">
        <v>16</v>
      </c>
      <c r="H457" t="s">
        <v>22</v>
      </c>
      <c r="I457" t="s">
        <v>41</v>
      </c>
      <c r="J457">
        <v>4650000</v>
      </c>
      <c r="K457" t="s">
        <v>975</v>
      </c>
      <c r="L457" t="s">
        <v>1100</v>
      </c>
      <c r="M457" s="1">
        <f>Data_Caso_Propuesto[[#This Row],[Precio]]</f>
        <v>4650000</v>
      </c>
      <c r="N457" s="1" t="str">
        <f>IFERROR(Data_Caso_Propuesto[[#This Row],[Precio]]/Data_Caso_Propuesto[[#This Row],[Area Terreno]],"")</f>
        <v/>
      </c>
      <c r="O457" s="1" t="str">
        <f>IFERROR((Data_Caso_Propuesto[[#This Row],[Precio]]/Data_Caso_Propuesto[[#This Row],[Area Terreno]])/1000000,"")</f>
        <v/>
      </c>
      <c r="P457" s="1"/>
    </row>
    <row r="458" spans="1:16" x14ac:dyDescent="0.25">
      <c r="A458" t="s">
        <v>976</v>
      </c>
      <c r="B458" t="s">
        <v>70</v>
      </c>
      <c r="C458" t="s">
        <v>71</v>
      </c>
      <c r="D458" t="s">
        <v>15</v>
      </c>
      <c r="E458" t="s">
        <v>977</v>
      </c>
      <c r="F458" s="3" t="s">
        <v>16</v>
      </c>
      <c r="G458" s="3" t="s">
        <v>16</v>
      </c>
      <c r="H458" t="s">
        <v>22</v>
      </c>
      <c r="I458" t="s">
        <v>31</v>
      </c>
      <c r="J458">
        <v>2825208626</v>
      </c>
      <c r="K458" t="s">
        <v>68</v>
      </c>
      <c r="L458" t="s">
        <v>15</v>
      </c>
      <c r="M458" s="1">
        <f>Data_Caso_Propuesto[[#This Row],[Precio]]</f>
        <v>2825208626</v>
      </c>
      <c r="N458" s="1" t="str">
        <f>IFERROR(Data_Caso_Propuesto[[#This Row],[Precio]]/Data_Caso_Propuesto[[#This Row],[Area Terreno]],"")</f>
        <v/>
      </c>
      <c r="O458" s="1" t="str">
        <f>IFERROR((Data_Caso_Propuesto[[#This Row],[Precio]]/Data_Caso_Propuesto[[#This Row],[Area Terreno]])/1000000,"")</f>
        <v/>
      </c>
      <c r="P458" s="1"/>
    </row>
    <row r="459" spans="1:16" x14ac:dyDescent="0.25">
      <c r="A459" t="s">
        <v>978</v>
      </c>
      <c r="B459" t="s">
        <v>979</v>
      </c>
      <c r="C459" t="s">
        <v>71</v>
      </c>
      <c r="D459" t="s">
        <v>15</v>
      </c>
      <c r="E459" t="s">
        <v>980</v>
      </c>
      <c r="F459" s="3" t="s">
        <v>16</v>
      </c>
      <c r="G459" s="3" t="s">
        <v>16</v>
      </c>
      <c r="H459" t="s">
        <v>17</v>
      </c>
      <c r="I459" t="s">
        <v>81</v>
      </c>
      <c r="J459">
        <v>24000000</v>
      </c>
      <c r="K459" t="s">
        <v>102</v>
      </c>
      <c r="L459" t="s">
        <v>1101</v>
      </c>
      <c r="M459" s="1">
        <f>Data_Caso_Propuesto[[#This Row],[Precio]]</f>
        <v>24000000</v>
      </c>
      <c r="N459" s="1" t="str">
        <f>IFERROR(Data_Caso_Propuesto[[#This Row],[Precio]]/Data_Caso_Propuesto[[#This Row],[Area Terreno]],"")</f>
        <v/>
      </c>
      <c r="O459" s="1" t="str">
        <f>IFERROR((Data_Caso_Propuesto[[#This Row],[Precio]]/Data_Caso_Propuesto[[#This Row],[Area Terreno]])/1000000,"")</f>
        <v/>
      </c>
      <c r="P459" s="1"/>
    </row>
    <row r="460" spans="1:16" x14ac:dyDescent="0.25">
      <c r="A460" t="s">
        <v>981</v>
      </c>
      <c r="B460" t="s">
        <v>80</v>
      </c>
      <c r="C460" t="s">
        <v>36</v>
      </c>
      <c r="D460" t="s">
        <v>982</v>
      </c>
      <c r="E460" t="s">
        <v>983</v>
      </c>
      <c r="F460" s="3" t="s">
        <v>16</v>
      </c>
      <c r="G460" s="3" t="s">
        <v>16</v>
      </c>
      <c r="H460" t="s">
        <v>17</v>
      </c>
      <c r="I460" t="s">
        <v>31</v>
      </c>
      <c r="J460">
        <v>2960533862</v>
      </c>
      <c r="K460" t="s">
        <v>102</v>
      </c>
      <c r="L460" t="s">
        <v>984</v>
      </c>
      <c r="M460" s="1">
        <f>Data_Caso_Propuesto[[#This Row],[Precio]]</f>
        <v>2960533862</v>
      </c>
      <c r="N460" s="1" t="str">
        <f>IFERROR(Data_Caso_Propuesto[[#This Row],[Precio]]/Data_Caso_Propuesto[[#This Row],[Area Terreno]],"")</f>
        <v/>
      </c>
      <c r="O460" s="1" t="str">
        <f>IFERROR((Data_Caso_Propuesto[[#This Row],[Precio]]/Data_Caso_Propuesto[[#This Row],[Area Terreno]])/1000000,"")</f>
        <v/>
      </c>
      <c r="P460" s="1"/>
    </row>
    <row r="461" spans="1:16" x14ac:dyDescent="0.25">
      <c r="A461" t="s">
        <v>985</v>
      </c>
      <c r="B461" t="s">
        <v>13</v>
      </c>
      <c r="C461" t="s">
        <v>14</v>
      </c>
      <c r="D461" t="s">
        <v>15</v>
      </c>
      <c r="E461" t="s">
        <v>1102</v>
      </c>
      <c r="F461" s="3" t="s">
        <v>16</v>
      </c>
      <c r="G461" s="3" t="s">
        <v>16</v>
      </c>
      <c r="H461" t="s">
        <v>17</v>
      </c>
      <c r="I461" t="s">
        <v>31</v>
      </c>
      <c r="J461">
        <v>1448241600</v>
      </c>
      <c r="K461" t="s">
        <v>94</v>
      </c>
      <c r="L461" t="s">
        <v>15</v>
      </c>
      <c r="M461" s="1">
        <f>Data_Caso_Propuesto[[#This Row],[Precio]]</f>
        <v>1448241600</v>
      </c>
      <c r="N461" s="1" t="str">
        <f>IFERROR(Data_Caso_Propuesto[[#This Row],[Precio]]/Data_Caso_Propuesto[[#This Row],[Area Terreno]],"")</f>
        <v/>
      </c>
      <c r="O461" s="1" t="str">
        <f>IFERROR((Data_Caso_Propuesto[[#This Row],[Precio]]/Data_Caso_Propuesto[[#This Row],[Area Terreno]])/1000000,"")</f>
        <v/>
      </c>
      <c r="P461" s="1"/>
    </row>
    <row r="462" spans="1:16" x14ac:dyDescent="0.25">
      <c r="A462" t="s">
        <v>986</v>
      </c>
      <c r="B462" t="s">
        <v>80</v>
      </c>
      <c r="C462" t="s">
        <v>36</v>
      </c>
      <c r="D462" t="s">
        <v>982</v>
      </c>
      <c r="E462" t="s">
        <v>987</v>
      </c>
      <c r="F462" s="3" t="s">
        <v>16</v>
      </c>
      <c r="G462" s="3" t="s">
        <v>16</v>
      </c>
      <c r="H462" t="s">
        <v>17</v>
      </c>
      <c r="I462" t="s">
        <v>31</v>
      </c>
      <c r="J462">
        <v>2070133703</v>
      </c>
      <c r="K462" t="s">
        <v>102</v>
      </c>
      <c r="L462" t="s">
        <v>984</v>
      </c>
      <c r="M462" s="1">
        <f>Data_Caso_Propuesto[[#This Row],[Precio]]</f>
        <v>2070133703</v>
      </c>
      <c r="N462" s="1" t="str">
        <f>IFERROR(Data_Caso_Propuesto[[#This Row],[Precio]]/Data_Caso_Propuesto[[#This Row],[Area Terreno]],"")</f>
        <v/>
      </c>
      <c r="O462" s="1" t="str">
        <f>IFERROR((Data_Caso_Propuesto[[#This Row],[Precio]]/Data_Caso_Propuesto[[#This Row],[Area Terreno]])/1000000,"")</f>
        <v/>
      </c>
      <c r="P462" s="1"/>
    </row>
    <row r="463" spans="1:16" x14ac:dyDescent="0.25">
      <c r="A463" t="s">
        <v>988</v>
      </c>
      <c r="B463" t="s">
        <v>80</v>
      </c>
      <c r="C463" t="s">
        <v>36</v>
      </c>
      <c r="D463" t="s">
        <v>982</v>
      </c>
      <c r="E463" t="s">
        <v>989</v>
      </c>
      <c r="F463" s="3" t="s">
        <v>16</v>
      </c>
      <c r="G463" s="3" t="s">
        <v>16</v>
      </c>
      <c r="H463" t="s">
        <v>17</v>
      </c>
      <c r="I463" t="s">
        <v>31</v>
      </c>
      <c r="J463">
        <v>2060800368</v>
      </c>
      <c r="K463" t="s">
        <v>102</v>
      </c>
      <c r="L463" t="s">
        <v>984</v>
      </c>
      <c r="M463" s="1">
        <f>Data_Caso_Propuesto[[#This Row],[Precio]]</f>
        <v>2060800368</v>
      </c>
      <c r="N463" s="1" t="str">
        <f>IFERROR(Data_Caso_Propuesto[[#This Row],[Precio]]/Data_Caso_Propuesto[[#This Row],[Area Terreno]],"")</f>
        <v/>
      </c>
      <c r="O463" s="1" t="str">
        <f>IFERROR((Data_Caso_Propuesto[[#This Row],[Precio]]/Data_Caso_Propuesto[[#This Row],[Area Terreno]])/1000000,"")</f>
        <v/>
      </c>
      <c r="P463" s="1"/>
    </row>
    <row r="464" spans="1:16" x14ac:dyDescent="0.25">
      <c r="A464" t="s">
        <v>990</v>
      </c>
      <c r="B464" t="s">
        <v>80</v>
      </c>
      <c r="C464" t="s">
        <v>36</v>
      </c>
      <c r="D464" t="s">
        <v>982</v>
      </c>
      <c r="E464" t="s">
        <v>991</v>
      </c>
      <c r="F464" s="3" t="s">
        <v>16</v>
      </c>
      <c r="G464" s="3" t="s">
        <v>16</v>
      </c>
      <c r="H464" t="s">
        <v>17</v>
      </c>
      <c r="I464" t="s">
        <v>31</v>
      </c>
      <c r="J464">
        <v>2060800368</v>
      </c>
      <c r="K464" t="s">
        <v>102</v>
      </c>
      <c r="L464" t="s">
        <v>984</v>
      </c>
      <c r="M464" s="1">
        <f>Data_Caso_Propuesto[[#This Row],[Precio]]</f>
        <v>2060800368</v>
      </c>
      <c r="N464" s="1" t="str">
        <f>IFERROR(Data_Caso_Propuesto[[#This Row],[Precio]]/Data_Caso_Propuesto[[#This Row],[Area Terreno]],"")</f>
        <v/>
      </c>
      <c r="O464" s="1" t="str">
        <f>IFERROR((Data_Caso_Propuesto[[#This Row],[Precio]]/Data_Caso_Propuesto[[#This Row],[Area Terreno]])/1000000,"")</f>
        <v/>
      </c>
      <c r="P464"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448F99-AC7D-4985-9E8F-C43EBDB9C4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Data_Caso_Propuesto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Johnnatan Villaneda</dc:creator>
  <cp:lastModifiedBy>Johnnatan Villaneda</cp:lastModifiedBy>
  <dcterms:created xsi:type="dcterms:W3CDTF">2026-07-29T20:54:07Z</dcterms:created>
  <dcterms:modified xsi:type="dcterms:W3CDTF">2026-07-30T22:08:12Z</dcterms:modified>
</cp:coreProperties>
</file>